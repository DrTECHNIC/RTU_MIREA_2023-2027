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RTU_MIREA\7 семестр\Методы помехозащищенного кодирования и сжатия информации\"/>
    </mc:Choice>
  </mc:AlternateContent>
  <xr:revisionPtr revIDLastSave="0" documentId="13_ncr:1_{AFDDC65F-1F2B-4921-8017-ADC108BAEB2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Задача 3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17" i="1" l="1"/>
  <c r="AB18" i="1"/>
  <c r="AB19" i="1"/>
  <c r="AB20" i="1"/>
  <c r="AB21" i="1"/>
  <c r="AB22" i="1"/>
  <c r="AB23" i="1"/>
  <c r="AB24" i="1"/>
  <c r="AB25" i="1"/>
  <c r="AB26" i="1"/>
  <c r="AB27" i="1"/>
  <c r="AB28" i="1"/>
  <c r="Q40" i="1"/>
  <c r="P40" i="1"/>
  <c r="O40" i="1"/>
  <c r="N40" i="1"/>
  <c r="M40" i="1"/>
  <c r="L40" i="1"/>
  <c r="K40" i="1"/>
  <c r="J40" i="1"/>
  <c r="I40" i="1"/>
  <c r="H40" i="1"/>
  <c r="G40" i="1"/>
  <c r="R40" i="1" s="1"/>
  <c r="Q39" i="1"/>
  <c r="P39" i="1"/>
  <c r="O39" i="1"/>
  <c r="N39" i="1"/>
  <c r="M39" i="1"/>
  <c r="L39" i="1"/>
  <c r="K39" i="1"/>
  <c r="J39" i="1"/>
  <c r="I39" i="1"/>
  <c r="H39" i="1"/>
  <c r="G39" i="1"/>
  <c r="R39" i="1" s="1"/>
  <c r="Q38" i="1"/>
  <c r="P38" i="1"/>
  <c r="O38" i="1"/>
  <c r="N38" i="1"/>
  <c r="M38" i="1"/>
  <c r="L38" i="1"/>
  <c r="K38" i="1"/>
  <c r="J38" i="1"/>
  <c r="I38" i="1"/>
  <c r="H38" i="1"/>
  <c r="G38" i="1"/>
  <c r="R38" i="1" s="1"/>
  <c r="Q37" i="1"/>
  <c r="P37" i="1"/>
  <c r="O37" i="1"/>
  <c r="N37" i="1"/>
  <c r="M37" i="1"/>
  <c r="L37" i="1"/>
  <c r="K37" i="1"/>
  <c r="J37" i="1"/>
  <c r="I37" i="1"/>
  <c r="H37" i="1"/>
  <c r="G37" i="1"/>
  <c r="R37" i="1" s="1"/>
  <c r="Q36" i="1"/>
  <c r="P36" i="1"/>
  <c r="O36" i="1"/>
  <c r="N36" i="1"/>
  <c r="M36" i="1"/>
  <c r="L36" i="1"/>
  <c r="K36" i="1"/>
  <c r="J36" i="1"/>
  <c r="I36" i="1"/>
  <c r="H36" i="1"/>
  <c r="G36" i="1"/>
  <c r="R36" i="1" s="1"/>
  <c r="Q35" i="1"/>
  <c r="P35" i="1"/>
  <c r="O35" i="1"/>
  <c r="N35" i="1"/>
  <c r="M35" i="1"/>
  <c r="L35" i="1"/>
  <c r="K35" i="1"/>
  <c r="J35" i="1"/>
  <c r="I35" i="1"/>
  <c r="H35" i="1"/>
  <c r="G35" i="1"/>
  <c r="R35" i="1" s="1"/>
  <c r="Q34" i="1"/>
  <c r="P34" i="1"/>
  <c r="O34" i="1"/>
  <c r="N34" i="1"/>
  <c r="M34" i="1"/>
  <c r="L34" i="1"/>
  <c r="K34" i="1"/>
  <c r="J34" i="1"/>
  <c r="I34" i="1"/>
  <c r="H34" i="1"/>
  <c r="G34" i="1"/>
  <c r="R34" i="1" s="1"/>
  <c r="Q33" i="1"/>
  <c r="P33" i="1"/>
  <c r="O33" i="1"/>
  <c r="N33" i="1"/>
  <c r="M33" i="1"/>
  <c r="L33" i="1"/>
  <c r="K33" i="1"/>
  <c r="J33" i="1"/>
  <c r="I33" i="1"/>
  <c r="H33" i="1"/>
  <c r="G33" i="1"/>
  <c r="R33" i="1" s="1"/>
  <c r="Q32" i="1"/>
  <c r="P32" i="1"/>
  <c r="O32" i="1"/>
  <c r="N32" i="1"/>
  <c r="M32" i="1"/>
  <c r="L32" i="1"/>
  <c r="K32" i="1"/>
  <c r="J32" i="1"/>
  <c r="I32" i="1"/>
  <c r="H32" i="1"/>
  <c r="G32" i="1"/>
  <c r="R32" i="1" s="1"/>
  <c r="Q31" i="1"/>
  <c r="P31" i="1"/>
  <c r="O31" i="1"/>
  <c r="N31" i="1"/>
  <c r="M31" i="1"/>
  <c r="L31" i="1"/>
  <c r="K31" i="1"/>
  <c r="J31" i="1"/>
  <c r="I31" i="1"/>
  <c r="H31" i="1"/>
  <c r="G31" i="1"/>
  <c r="R31" i="1" s="1"/>
  <c r="Q30" i="1"/>
  <c r="P30" i="1"/>
  <c r="O30" i="1"/>
  <c r="N30" i="1"/>
  <c r="M30" i="1"/>
  <c r="L30" i="1"/>
  <c r="K30" i="1"/>
  <c r="J30" i="1"/>
  <c r="I30" i="1"/>
  <c r="H30" i="1"/>
  <c r="G30" i="1"/>
  <c r="R30" i="1" s="1"/>
  <c r="Q29" i="1"/>
  <c r="P29" i="1"/>
  <c r="O29" i="1"/>
  <c r="N29" i="1"/>
  <c r="M29" i="1"/>
  <c r="L29" i="1"/>
  <c r="K29" i="1"/>
  <c r="J29" i="1"/>
  <c r="I29" i="1"/>
  <c r="H29" i="1"/>
  <c r="R29" i="1" s="1"/>
  <c r="G29" i="1"/>
  <c r="Q28" i="1"/>
  <c r="R28" i="1" s="1"/>
  <c r="P28" i="1"/>
  <c r="O28" i="1"/>
  <c r="N28" i="1"/>
  <c r="M28" i="1"/>
  <c r="L28" i="1"/>
  <c r="K28" i="1"/>
  <c r="J28" i="1"/>
  <c r="I28" i="1"/>
  <c r="H28" i="1"/>
  <c r="G28" i="1"/>
  <c r="Q27" i="1"/>
  <c r="P27" i="1"/>
  <c r="O27" i="1"/>
  <c r="N27" i="1"/>
  <c r="R27" i="1" s="1"/>
  <c r="M27" i="1"/>
  <c r="L27" i="1"/>
  <c r="K27" i="1"/>
  <c r="J27" i="1"/>
  <c r="I27" i="1"/>
  <c r="H27" i="1"/>
  <c r="G27" i="1"/>
  <c r="Q26" i="1"/>
  <c r="P26" i="1"/>
  <c r="O26" i="1"/>
  <c r="N26" i="1"/>
  <c r="M26" i="1"/>
  <c r="L26" i="1"/>
  <c r="K26" i="1"/>
  <c r="J26" i="1"/>
  <c r="I26" i="1"/>
  <c r="R26" i="1" s="1"/>
  <c r="H26" i="1"/>
  <c r="G26" i="1"/>
  <c r="Q25" i="1"/>
  <c r="P25" i="1"/>
  <c r="O25" i="1"/>
  <c r="N25" i="1"/>
  <c r="M25" i="1"/>
  <c r="L25" i="1"/>
  <c r="K25" i="1"/>
  <c r="J25" i="1"/>
  <c r="I25" i="1"/>
  <c r="H25" i="1"/>
  <c r="R25" i="1" s="1"/>
  <c r="G25" i="1"/>
  <c r="Q24" i="1"/>
  <c r="R24" i="1" s="1"/>
  <c r="P24" i="1"/>
  <c r="O24" i="1"/>
  <c r="N24" i="1"/>
  <c r="M24" i="1"/>
  <c r="L24" i="1"/>
  <c r="K24" i="1"/>
  <c r="J24" i="1"/>
  <c r="I24" i="1"/>
  <c r="H24" i="1"/>
  <c r="G24" i="1"/>
  <c r="Q23" i="1"/>
  <c r="P23" i="1"/>
  <c r="O23" i="1"/>
  <c r="N23" i="1"/>
  <c r="R23" i="1" s="1"/>
  <c r="M23" i="1"/>
  <c r="L23" i="1"/>
  <c r="K23" i="1"/>
  <c r="J23" i="1"/>
  <c r="I23" i="1"/>
  <c r="H23" i="1"/>
  <c r="G23" i="1"/>
  <c r="Q22" i="1"/>
  <c r="P22" i="1"/>
  <c r="O22" i="1"/>
  <c r="N22" i="1"/>
  <c r="M22" i="1"/>
  <c r="L22" i="1"/>
  <c r="K22" i="1"/>
  <c r="J22" i="1"/>
  <c r="I22" i="1"/>
  <c r="R22" i="1" s="1"/>
  <c r="H22" i="1"/>
  <c r="G22" i="1"/>
  <c r="Q21" i="1"/>
  <c r="P21" i="1"/>
  <c r="O21" i="1"/>
  <c r="N21" i="1"/>
  <c r="M21" i="1"/>
  <c r="L21" i="1"/>
  <c r="K21" i="1"/>
  <c r="J21" i="1"/>
  <c r="I21" i="1"/>
  <c r="H21" i="1"/>
  <c r="R21" i="1" s="1"/>
  <c r="G21" i="1"/>
  <c r="Q20" i="1"/>
  <c r="R20" i="1" s="1"/>
  <c r="P20" i="1"/>
  <c r="O20" i="1"/>
  <c r="N20" i="1"/>
  <c r="M20" i="1"/>
  <c r="L20" i="1"/>
  <c r="K20" i="1"/>
  <c r="J20" i="1"/>
  <c r="I20" i="1"/>
  <c r="H20" i="1"/>
  <c r="G20" i="1"/>
  <c r="R19" i="1"/>
  <c r="Q19" i="1"/>
  <c r="P19" i="1"/>
  <c r="O19" i="1"/>
  <c r="N19" i="1"/>
  <c r="M19" i="1"/>
  <c r="L19" i="1"/>
  <c r="K19" i="1"/>
  <c r="J19" i="1"/>
  <c r="I19" i="1"/>
  <c r="H19" i="1"/>
  <c r="G19" i="1"/>
  <c r="T18" i="1"/>
  <c r="Q18" i="1"/>
  <c r="P18" i="1"/>
  <c r="O18" i="1"/>
  <c r="N18" i="1"/>
  <c r="M18" i="1"/>
  <c r="L18" i="1"/>
  <c r="K18" i="1"/>
  <c r="J18" i="1"/>
  <c r="I18" i="1"/>
  <c r="H18" i="1"/>
  <c r="G18" i="1"/>
  <c r="AA17" i="1"/>
  <c r="Y17" i="1"/>
  <c r="X17" i="1"/>
  <c r="W17" i="1"/>
  <c r="Q17" i="1"/>
  <c r="P17" i="1"/>
  <c r="O17" i="1"/>
  <c r="N17" i="1"/>
  <c r="M17" i="1"/>
  <c r="L17" i="1"/>
  <c r="K17" i="1"/>
  <c r="J17" i="1"/>
  <c r="I17" i="1"/>
  <c r="H17" i="1"/>
  <c r="G17" i="1"/>
  <c r="R17" i="1" s="1"/>
  <c r="Q16" i="1"/>
  <c r="P16" i="1"/>
  <c r="O16" i="1"/>
  <c r="N16" i="1"/>
  <c r="M16" i="1"/>
  <c r="R16" i="1" s="1"/>
  <c r="L16" i="1"/>
  <c r="K16" i="1"/>
  <c r="J16" i="1"/>
  <c r="I16" i="1"/>
  <c r="H16" i="1"/>
  <c r="G16" i="1"/>
  <c r="Q15" i="1"/>
  <c r="R15" i="1" s="1"/>
  <c r="P15" i="1"/>
  <c r="O15" i="1"/>
  <c r="N15" i="1"/>
  <c r="M15" i="1"/>
  <c r="L15" i="1"/>
  <c r="K15" i="1"/>
  <c r="J15" i="1"/>
  <c r="I15" i="1"/>
  <c r="H15" i="1"/>
  <c r="G15" i="1"/>
  <c r="Q14" i="1"/>
  <c r="P14" i="1"/>
  <c r="O14" i="1"/>
  <c r="N14" i="1"/>
  <c r="M14" i="1"/>
  <c r="L14" i="1"/>
  <c r="K14" i="1"/>
  <c r="J14" i="1"/>
  <c r="I14" i="1"/>
  <c r="H14" i="1"/>
  <c r="R14" i="1" s="1"/>
  <c r="G14" i="1"/>
  <c r="Q13" i="1"/>
  <c r="P13" i="1"/>
  <c r="O13" i="1"/>
  <c r="R13" i="1" s="1"/>
  <c r="N13" i="1"/>
  <c r="M13" i="1"/>
  <c r="L13" i="1"/>
  <c r="K13" i="1"/>
  <c r="J13" i="1"/>
  <c r="I13" i="1"/>
  <c r="H13" i="1"/>
  <c r="G13" i="1"/>
  <c r="Q12" i="1"/>
  <c r="P12" i="1"/>
  <c r="O12" i="1"/>
  <c r="N12" i="1"/>
  <c r="M12" i="1"/>
  <c r="L12" i="1"/>
  <c r="K12" i="1"/>
  <c r="J12" i="1"/>
  <c r="I12" i="1"/>
  <c r="H12" i="1"/>
  <c r="R12" i="1" s="1"/>
  <c r="G12" i="1"/>
  <c r="Q11" i="1"/>
  <c r="P11" i="1"/>
  <c r="O11" i="1"/>
  <c r="N11" i="1"/>
  <c r="M11" i="1"/>
  <c r="L11" i="1"/>
  <c r="R11" i="1" s="1"/>
  <c r="K11" i="1"/>
  <c r="J11" i="1"/>
  <c r="I11" i="1"/>
  <c r="H11" i="1"/>
  <c r="G11" i="1"/>
  <c r="AG10" i="1"/>
  <c r="AI10" i="1" s="1"/>
  <c r="Q10" i="1"/>
  <c r="P10" i="1"/>
  <c r="R10" i="1" s="1"/>
  <c r="O10" i="1"/>
  <c r="N10" i="1"/>
  <c r="M10" i="1"/>
  <c r="L10" i="1"/>
  <c r="K10" i="1"/>
  <c r="J10" i="1"/>
  <c r="I10" i="1"/>
  <c r="H10" i="1"/>
  <c r="G10" i="1"/>
  <c r="Q9" i="1"/>
  <c r="P9" i="1"/>
  <c r="O9" i="1"/>
  <c r="N9" i="1"/>
  <c r="M9" i="1"/>
  <c r="L9" i="1"/>
  <c r="K9" i="1"/>
  <c r="J9" i="1"/>
  <c r="I9" i="1"/>
  <c r="H9" i="1"/>
  <c r="G9" i="1"/>
  <c r="R9" i="1" s="1"/>
  <c r="U17" i="1" l="1"/>
  <c r="U28" i="1"/>
  <c r="Z28" i="1" s="1"/>
  <c r="U20" i="1"/>
  <c r="Z20" i="1" s="1"/>
  <c r="U19" i="1"/>
  <c r="Z19" i="1" s="1"/>
  <c r="U26" i="1"/>
  <c r="Z26" i="1" s="1"/>
  <c r="U22" i="1"/>
  <c r="Z22" i="1" s="1"/>
  <c r="U27" i="1"/>
  <c r="Z27" i="1" s="1"/>
  <c r="AC17" i="1"/>
  <c r="AI9" i="1"/>
  <c r="T19" i="1"/>
  <c r="W18" i="1"/>
  <c r="R18" i="1"/>
  <c r="U21" i="1" s="1"/>
  <c r="Z21" i="1" s="1"/>
  <c r="U18" i="1"/>
  <c r="Z18" i="1" s="1"/>
  <c r="AG11" i="1"/>
  <c r="W19" i="1" l="1"/>
  <c r="T20" i="1"/>
  <c r="AI11" i="1"/>
  <c r="AG12" i="1"/>
  <c r="Z17" i="1"/>
  <c r="U12" i="1"/>
  <c r="Y18" i="1"/>
  <c r="X18" i="1"/>
  <c r="AA18" i="1" s="1"/>
  <c r="U24" i="1"/>
  <c r="Z24" i="1" s="1"/>
  <c r="U25" i="1"/>
  <c r="Z25" i="1" s="1"/>
  <c r="U23" i="1"/>
  <c r="Z23" i="1" s="1"/>
  <c r="U29" i="1" l="1"/>
  <c r="AG13" i="1"/>
  <c r="AI12" i="1"/>
  <c r="T21" i="1"/>
  <c r="W20" i="1"/>
  <c r="AC18" i="1"/>
  <c r="U14" i="1"/>
  <c r="AE17" i="1" s="1"/>
  <c r="U13" i="1"/>
  <c r="X19" i="1"/>
  <c r="AA19" i="1" s="1"/>
  <c r="Y19" i="1"/>
  <c r="Y20" i="1" l="1"/>
  <c r="AA20" i="1" s="1"/>
  <c r="X20" i="1"/>
  <c r="W21" i="1"/>
  <c r="T22" i="1"/>
  <c r="AG14" i="1"/>
  <c r="AI13" i="1"/>
  <c r="AC19" i="1"/>
  <c r="W22" i="1" l="1"/>
  <c r="T23" i="1"/>
  <c r="Y21" i="1"/>
  <c r="X21" i="1"/>
  <c r="AA21" i="1" s="1"/>
  <c r="AG15" i="1"/>
  <c r="AI14" i="1"/>
  <c r="AC20" i="1"/>
  <c r="AC21" i="1" l="1"/>
  <c r="AG16" i="1"/>
  <c r="AI15" i="1"/>
  <c r="W23" i="1"/>
  <c r="T24" i="1"/>
  <c r="X22" i="1"/>
  <c r="AA22" i="1"/>
  <c r="AC22" i="1"/>
  <c r="Y22" i="1"/>
  <c r="T25" i="1" l="1"/>
  <c r="W24" i="1"/>
  <c r="Y23" i="1"/>
  <c r="X23" i="1"/>
  <c r="AA23" i="1" s="1"/>
  <c r="AC23" i="1"/>
  <c r="AI16" i="1"/>
  <c r="AG17" i="1"/>
  <c r="X24" i="1" l="1"/>
  <c r="Y24" i="1"/>
  <c r="AA24" i="1" s="1"/>
  <c r="AI17" i="1"/>
  <c r="AG18" i="1"/>
  <c r="W25" i="1"/>
  <c r="T26" i="1"/>
  <c r="W26" i="1" l="1"/>
  <c r="T27" i="1"/>
  <c r="Y25" i="1"/>
  <c r="X25" i="1"/>
  <c r="AA25" i="1" s="1"/>
  <c r="AG19" i="1"/>
  <c r="AI18" i="1"/>
  <c r="AC24" i="1"/>
  <c r="AI19" i="1" l="1"/>
  <c r="AH19" i="1" a="1"/>
  <c r="AH19" i="1" s="1"/>
  <c r="AC25" i="1"/>
  <c r="W27" i="1"/>
  <c r="T28" i="1"/>
  <c r="AH18" i="1" a="1"/>
  <c r="AH18" i="1" s="1"/>
  <c r="X26" i="1"/>
  <c r="Y26" i="1"/>
  <c r="AA26" i="1" s="1"/>
  <c r="Y27" i="1" l="1"/>
  <c r="X27" i="1"/>
  <c r="AA27" i="1" s="1"/>
  <c r="AC27" i="1"/>
  <c r="AC26" i="1"/>
  <c r="W28" i="1"/>
  <c r="AH9" i="1" a="1"/>
  <c r="AH9" i="1" s="1"/>
  <c r="AH14" i="1" a="1"/>
  <c r="AH14" i="1" s="1"/>
  <c r="AH12" i="1" a="1"/>
  <c r="AH12" i="1" s="1"/>
  <c r="AH10" i="1" a="1"/>
  <c r="AH10" i="1" s="1"/>
  <c r="AH13" i="1" a="1"/>
  <c r="AH13" i="1" s="1"/>
  <c r="AH16" i="1" a="1"/>
  <c r="AH16" i="1" s="1"/>
  <c r="AH11" i="1" a="1"/>
  <c r="AH11" i="1" s="1"/>
  <c r="AH15" i="1" a="1"/>
  <c r="AH15" i="1" s="1"/>
  <c r="AH17" i="1" a="1"/>
  <c r="AH17" i="1" s="1"/>
  <c r="AC28" i="1" l="1"/>
  <c r="Y28" i="1"/>
  <c r="X28" i="1"/>
  <c r="AA28" i="1" s="1"/>
  <c r="AD17" i="1" s="1"/>
</calcChain>
</file>

<file path=xl/sharedStrings.xml><?xml version="1.0" encoding="utf-8"?>
<sst xmlns="http://schemas.openxmlformats.org/spreadsheetml/2006/main" count="29" uniqueCount="25">
  <si>
    <t>G=</t>
  </si>
  <si>
    <t>Найти</t>
  </si>
  <si>
    <t>1) Y, d*, tо, tи, A, Pо, Pи, при p=0,2</t>
  </si>
  <si>
    <t>2) p=0..0,5 с шагом 0,05</t>
  </si>
  <si>
    <t>В тетрадь: графики, d*с=, t*и=</t>
  </si>
  <si>
    <t>Информационные векторы</t>
  </si>
  <si>
    <t>Кодовые векторы</t>
  </si>
  <si>
    <t>Вес</t>
  </si>
  <si>
    <t>p</t>
  </si>
  <si>
    <t>Pо</t>
  </si>
  <si>
    <t>Pи</t>
  </si>
  <si>
    <t>n=</t>
  </si>
  <si>
    <t>k=</t>
  </si>
  <si>
    <t>p=</t>
  </si>
  <si>
    <t>d*=</t>
  </si>
  <si>
    <t>tо=</t>
  </si>
  <si>
    <t>tи=</t>
  </si>
  <si>
    <t>i</t>
  </si>
  <si>
    <t>Ai</t>
  </si>
  <si>
    <t>p^i</t>
  </si>
  <si>
    <t>q^(n-i)</t>
  </si>
  <si>
    <t>Ai * p^i * q^(n-i)</t>
  </si>
  <si>
    <t>C^i_n</t>
  </si>
  <si>
    <t>C^i_n * p^i * q^(n-i)</t>
  </si>
  <si>
    <t>контроль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</si>
</sst>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</font>
    <font>
      <sz val="11"/>
      <name val="Aptos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D1D1D1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5" tint="0.79979857783745845"/>
        <bgColor rgb="FFD9D9D9"/>
      </patternFill>
    </fill>
    <fill>
      <patternFill patternType="solid">
        <fgColor theme="6" tint="0.79979857783745845"/>
        <bgColor rgb="FFCAEEFB"/>
      </patternFill>
    </fill>
    <fill>
      <patternFill patternType="solid">
        <fgColor theme="7" tint="0.79979857783745845"/>
        <bgColor rgb="FFCCFFFF"/>
      </patternFill>
    </fill>
    <fill>
      <patternFill patternType="solid">
        <fgColor theme="4" tint="0.59978026673177287"/>
        <bgColor rgb="FF84E291"/>
      </patternFill>
    </fill>
    <fill>
      <patternFill patternType="solid">
        <fgColor theme="3" tint="0.49977111117893003"/>
        <bgColor rgb="FF9999FF"/>
      </patternFill>
    </fill>
    <fill>
      <patternFill patternType="solid">
        <fgColor theme="6" tint="0.59978026673177287"/>
        <bgColor rgb="FF83CBEB"/>
      </patternFill>
    </fill>
    <fill>
      <patternFill patternType="solid">
        <fgColor theme="6" tint="0.39979247413556324"/>
        <bgColor rgb="FF84E291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3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2" borderId="8" xfId="0" applyFill="1" applyBorder="1"/>
    <xf numFmtId="0" fontId="0" fillId="4" borderId="9" xfId="0" applyFill="1" applyBorder="1"/>
    <xf numFmtId="0" fontId="0" fillId="5" borderId="9" xfId="0" applyFill="1" applyBorder="1"/>
    <xf numFmtId="0" fontId="0" fillId="6" borderId="9" xfId="0" applyFill="1" applyBorder="1"/>
    <xf numFmtId="0" fontId="0" fillId="7" borderId="9" xfId="0" applyFill="1" applyBorder="1"/>
    <xf numFmtId="0" fontId="0" fillId="8" borderId="9" xfId="0" applyFill="1" applyBorder="1"/>
    <xf numFmtId="0" fontId="1" fillId="9" borderId="9" xfId="0" applyFont="1" applyFill="1" applyBorder="1"/>
    <xf numFmtId="0" fontId="0" fillId="10" borderId="9" xfId="0" applyFill="1" applyBorder="1"/>
    <xf numFmtId="2" fontId="0" fillId="7" borderId="9" xfId="0" applyNumberFormat="1" applyFill="1" applyBorder="1"/>
    <xf numFmtId="0" fontId="0" fillId="11" borderId="9" xfId="0" applyFill="1" applyBorder="1"/>
    <xf numFmtId="0" fontId="0" fillId="9" borderId="9" xfId="0" applyFill="1" applyBorder="1"/>
    <xf numFmtId="0" fontId="0" fillId="12" borderId="9" xfId="0" applyFill="1" applyBorder="1" applyAlignment="1">
      <alignment horizontal="center"/>
    </xf>
    <xf numFmtId="0" fontId="0" fillId="12" borderId="9" xfId="0" applyFill="1" applyBorder="1"/>
    <xf numFmtId="0" fontId="0" fillId="4" borderId="9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3B3B3"/>
      <rgbColor rgb="FF808080"/>
      <rgbColor rgb="FF9999FF"/>
      <rgbColor rgb="FF993366"/>
      <rgbColor rgb="FFFBE3D6"/>
      <rgbColor rgb="FFCAEEFB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83CBEB"/>
      <rgbColor rgb="FFFF99CC"/>
      <rgbColor rgb="FFCC99FF"/>
      <rgbColor rgb="FFD9D9D9"/>
      <rgbColor rgb="FF4E95D9"/>
      <rgbColor rgb="FF47D45A"/>
      <rgbColor rgb="FF84E291"/>
      <rgbColor rgb="FFFFCC00"/>
      <rgbColor rgb="FFFF9900"/>
      <rgbColor rgb="FFFF6600"/>
      <rgbColor rgb="FF595959"/>
      <rgbColor rgb="FF969696"/>
      <rgbColor rgb="FF00458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Ai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'Задача 3'!$U$16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'Задача 3'!$T$17:$T$28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'Задача 3'!$U$17:$U$28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5-4812-9776-6C2D5DB3A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8532"/>
        <c:axId val="87386396"/>
      </c:barChart>
      <c:catAx>
        <c:axId val="19585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  <a:endParaRPr lang="ru-RU"/>
          </a:p>
        </c:txPr>
        <c:crossAx val="87386396"/>
        <c:crosses val="autoZero"/>
        <c:auto val="1"/>
        <c:lblAlgn val="ctr"/>
        <c:lblOffset val="100"/>
        <c:noMultiLvlLbl val="0"/>
      </c:catAx>
      <c:valAx>
        <c:axId val="8738639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  <a:endParaRPr lang="ru-RU"/>
          </a:p>
        </c:txPr>
        <c:crossAx val="19585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'Задача 3'!$AH$8</c:f>
              <c:strCache>
                <c:ptCount val="1"/>
                <c:pt idx="0">
                  <c:v>Pо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'Задача 3'!$AG$9:$AG$19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</c:numCache>
            </c:numRef>
          </c:cat>
          <c:val>
            <c:numRef>
              <c:f>'Задача 3'!$AH$9:$AH$19</c:f>
              <c:numCache>
                <c:formatCode>General</c:formatCode>
                <c:ptCount val="11"/>
                <c:pt idx="0">
                  <c:v>1</c:v>
                </c:pt>
                <c:pt idx="1">
                  <c:v>0.99988917557177248</c:v>
                </c:pt>
                <c:pt idx="2">
                  <c:v>0.99924016249000003</c:v>
                </c:pt>
                <c:pt idx="3">
                  <c:v>0.99785925194117675</c:v>
                </c:pt>
                <c:pt idx="4">
                  <c:v>0.99585124351999998</c:v>
                </c:pt>
                <c:pt idx="5">
                  <c:v>0.99348330497741699</c:v>
                </c:pt>
                <c:pt idx="6">
                  <c:v>0.99105997303000004</c:v>
                </c:pt>
                <c:pt idx="7">
                  <c:v>0.98884174055057128</c:v>
                </c:pt>
                <c:pt idx="8">
                  <c:v>0.98701060096000004</c:v>
                </c:pt>
                <c:pt idx="9">
                  <c:v>0.98567021493696783</c:v>
                </c:pt>
                <c:pt idx="10">
                  <c:v>0.98486328125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0F-4DAF-B7FB-5911E27B3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1805991"/>
        <c:axId val="36894081"/>
      </c:lineChart>
      <c:catAx>
        <c:axId val="2180599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ru-RU"/>
          </a:p>
        </c:txPr>
        <c:crossAx val="36894081"/>
        <c:crosses val="autoZero"/>
        <c:auto val="1"/>
        <c:lblAlgn val="ctr"/>
        <c:lblOffset val="100"/>
        <c:noMultiLvlLbl val="0"/>
      </c:catAx>
      <c:valAx>
        <c:axId val="368940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  <a:endParaRPr lang="ru-RU"/>
          </a:p>
        </c:txPr>
        <c:crossAx val="2180599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'Задача 3'!$AI$8</c:f>
              <c:strCache>
                <c:ptCount val="1"/>
                <c:pt idx="0">
                  <c:v>Pи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'Задача 3'!$AG$9:$AG$19</c:f>
              <c:numCache>
                <c:formatCode>0.00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</c:numCache>
            </c:numRef>
          </c:cat>
          <c:val>
            <c:numRef>
              <c:f>'Задача 3'!$AI$9:$AI$19</c:f>
              <c:numCache>
                <c:formatCode>General</c:formatCode>
                <c:ptCount val="11"/>
                <c:pt idx="0">
                  <c:v>1</c:v>
                </c:pt>
                <c:pt idx="1">
                  <c:v>0.89810540885756829</c:v>
                </c:pt>
                <c:pt idx="2">
                  <c:v>0.69735688020000031</c:v>
                </c:pt>
                <c:pt idx="3">
                  <c:v>0.49218601085180647</c:v>
                </c:pt>
                <c:pt idx="4">
                  <c:v>0.32212254720000033</c:v>
                </c:pt>
                <c:pt idx="5">
                  <c:v>0.1970973014831543</c:v>
                </c:pt>
                <c:pt idx="6">
                  <c:v>0.11299009959999992</c:v>
                </c:pt>
                <c:pt idx="7">
                  <c:v>6.0582345050830093E-2</c:v>
                </c:pt>
                <c:pt idx="8">
                  <c:v>3.0233088000000036E-2</c:v>
                </c:pt>
                <c:pt idx="9">
                  <c:v>1.3931233916552741E-2</c:v>
                </c:pt>
                <c:pt idx="10">
                  <c:v>5.8593749999999991E-3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4-4081-8113-96A7647EE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8461048"/>
        <c:axId val="94053815"/>
      </c:lineChart>
      <c:catAx>
        <c:axId val="58461048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  <a:endParaRPr lang="ru-RU"/>
          </a:p>
        </c:txPr>
        <c:crossAx val="94053815"/>
        <c:crosses val="autoZero"/>
        <c:auto val="1"/>
        <c:lblAlgn val="ctr"/>
        <c:lblOffset val="100"/>
        <c:noMultiLvlLbl val="0"/>
      </c:catAx>
      <c:valAx>
        <c:axId val="940538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  <a:endParaRPr lang="ru-RU"/>
          </a:p>
        </c:txPr>
        <c:crossAx val="5846104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30</xdr:row>
      <xdr:rowOff>0</xdr:rowOff>
    </xdr:from>
    <xdr:to>
      <xdr:col>26</xdr:col>
      <xdr:colOff>357480</xdr:colOff>
      <xdr:row>44</xdr:row>
      <xdr:rowOff>179280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31</xdr:col>
      <xdr:colOff>5400</xdr:colOff>
      <xdr:row>21</xdr:row>
      <xdr:rowOff>3240</xdr:rowOff>
    </xdr:from>
    <xdr:to>
      <xdr:col>39</xdr:col>
      <xdr:colOff>349200</xdr:colOff>
      <xdr:row>38</xdr:row>
      <xdr:rowOff>160200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31</xdr:col>
      <xdr:colOff>8640</xdr:colOff>
      <xdr:row>40</xdr:row>
      <xdr:rowOff>23400</xdr:rowOff>
    </xdr:from>
    <xdr:to>
      <xdr:col>39</xdr:col>
      <xdr:colOff>370080</xdr:colOff>
      <xdr:row>57</xdr:row>
      <xdr:rowOff>180720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Normal="100" workbookViewId="0"/>
  </sheetViews>
  <sheetFormatPr defaultColWidth="8.5546875" defaultRowHeight="14.4" x14ac:dyDescent="0.3"/>
  <cols>
    <col min="1" max="1" width="3.33203125" customWidth="1"/>
    <col min="2" max="17" width="2" customWidth="1"/>
    <col min="18" max="18" width="4.109375" customWidth="1"/>
    <col min="21" max="21" width="4" customWidth="1"/>
    <col min="23" max="23" width="3" customWidth="1"/>
    <col min="24" max="25" width="12" customWidth="1"/>
    <col min="26" max="26" width="2.5546875" customWidth="1"/>
    <col min="27" max="27" width="13.6640625" customWidth="1"/>
    <col min="28" max="28" width="5.44140625" customWidth="1"/>
    <col min="29" max="29" width="16.5546875" customWidth="1"/>
    <col min="30" max="31" width="12" customWidth="1"/>
    <col min="34" max="34" width="12" customWidth="1"/>
    <col min="35" max="35" width="13.6640625" customWidth="1"/>
    <col min="37" max="37" width="16.5546875" customWidth="1"/>
  </cols>
  <sheetData>
    <row r="2" spans="1:35" x14ac:dyDescent="0.3">
      <c r="A2" t="s">
        <v>0</v>
      </c>
      <c r="B2" s="1">
        <v>1</v>
      </c>
      <c r="C2" s="2">
        <v>0</v>
      </c>
      <c r="D2" s="2">
        <v>0</v>
      </c>
      <c r="E2" s="2">
        <v>0</v>
      </c>
      <c r="F2" s="2">
        <v>0</v>
      </c>
      <c r="G2" s="3">
        <v>0</v>
      </c>
      <c r="H2" s="2">
        <v>1</v>
      </c>
      <c r="I2" s="2">
        <v>1</v>
      </c>
      <c r="J2" s="2">
        <v>1</v>
      </c>
      <c r="K2" s="2">
        <v>0</v>
      </c>
      <c r="L2" s="4">
        <v>1</v>
      </c>
    </row>
    <row r="3" spans="1:35" x14ac:dyDescent="0.3">
      <c r="B3" s="5">
        <v>0</v>
      </c>
      <c r="C3" s="6">
        <v>1</v>
      </c>
      <c r="D3" s="6">
        <v>0</v>
      </c>
      <c r="E3" s="6">
        <v>0</v>
      </c>
      <c r="F3" s="6">
        <v>0</v>
      </c>
      <c r="G3" s="7">
        <v>0</v>
      </c>
      <c r="H3" s="6">
        <v>1</v>
      </c>
      <c r="I3" s="6">
        <v>0</v>
      </c>
      <c r="J3" s="6">
        <v>1</v>
      </c>
      <c r="K3" s="6">
        <v>1</v>
      </c>
      <c r="L3" s="8">
        <v>1</v>
      </c>
    </row>
    <row r="4" spans="1:35" x14ac:dyDescent="0.3">
      <c r="B4" s="5">
        <v>0</v>
      </c>
      <c r="C4" s="6">
        <v>0</v>
      </c>
      <c r="D4" s="6">
        <v>1</v>
      </c>
      <c r="E4" s="6">
        <v>0</v>
      </c>
      <c r="F4" s="6">
        <v>0</v>
      </c>
      <c r="G4" s="7">
        <v>1</v>
      </c>
      <c r="H4" s="6">
        <v>1</v>
      </c>
      <c r="I4" s="6">
        <v>1</v>
      </c>
      <c r="J4" s="6">
        <v>1</v>
      </c>
      <c r="K4" s="6">
        <v>1</v>
      </c>
      <c r="L4" s="8">
        <v>0</v>
      </c>
      <c r="X4" t="s">
        <v>1</v>
      </c>
      <c r="Y4" t="s">
        <v>2</v>
      </c>
    </row>
    <row r="5" spans="1:35" x14ac:dyDescent="0.3">
      <c r="B5" s="5">
        <v>0</v>
      </c>
      <c r="C5" s="6">
        <v>0</v>
      </c>
      <c r="D5" s="6">
        <v>0</v>
      </c>
      <c r="E5" s="6">
        <v>1</v>
      </c>
      <c r="F5" s="6">
        <v>0</v>
      </c>
      <c r="G5" s="7">
        <v>1</v>
      </c>
      <c r="H5" s="6">
        <v>1</v>
      </c>
      <c r="I5" s="6">
        <v>1</v>
      </c>
      <c r="J5" s="6">
        <v>1</v>
      </c>
      <c r="K5" s="6">
        <v>1</v>
      </c>
      <c r="L5" s="8">
        <v>1</v>
      </c>
      <c r="Y5" t="s">
        <v>3</v>
      </c>
    </row>
    <row r="6" spans="1:35" x14ac:dyDescent="0.3">
      <c r="B6" s="9">
        <v>0</v>
      </c>
      <c r="C6" s="10">
        <v>0</v>
      </c>
      <c r="D6" s="10">
        <v>0</v>
      </c>
      <c r="E6" s="10">
        <v>0</v>
      </c>
      <c r="F6" s="10">
        <v>1</v>
      </c>
      <c r="G6" s="11">
        <v>0</v>
      </c>
      <c r="H6" s="10">
        <v>0</v>
      </c>
      <c r="I6" s="10">
        <v>1</v>
      </c>
      <c r="J6" s="10">
        <v>1</v>
      </c>
      <c r="K6" s="10">
        <v>1</v>
      </c>
      <c r="L6" s="12">
        <v>1</v>
      </c>
      <c r="Y6" t="s">
        <v>4</v>
      </c>
    </row>
    <row r="8" spans="1:35" x14ac:dyDescent="0.3">
      <c r="B8" s="25" t="s">
        <v>5</v>
      </c>
      <c r="C8" s="25"/>
      <c r="D8" s="25"/>
      <c r="E8" s="25"/>
      <c r="F8" s="25"/>
      <c r="G8" s="25" t="s">
        <v>6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13" t="s">
        <v>7</v>
      </c>
      <c r="AG8" s="14" t="s">
        <v>8</v>
      </c>
      <c r="AH8" s="14" t="s">
        <v>9</v>
      </c>
      <c r="AI8" s="14" t="s">
        <v>10</v>
      </c>
    </row>
    <row r="9" spans="1:35" x14ac:dyDescent="0.3"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6">
        <f t="shared" ref="G9:G40" si="0">MOD($B9*B$2+$C9*B$3+$D9*B$4+$E9*B$5+$F9*B$6,2)</f>
        <v>0</v>
      </c>
      <c r="H9" s="16">
        <f t="shared" ref="H9:H40" si="1">MOD($B9*C$2+$C9*C$3+$D9*C$4+$E9*C$5+$F9*C$6,2)</f>
        <v>0</v>
      </c>
      <c r="I9" s="16">
        <f t="shared" ref="I9:I40" si="2">MOD($B9*D$2+$C9*D$3+$D9*D$4+$E9*D$5+$F9*D$6,2)</f>
        <v>0</v>
      </c>
      <c r="J9" s="16">
        <f t="shared" ref="J9:J40" si="3">MOD($B9*E$2+$C9*E$3+$D9*E$4+$E9*E$5+$F9*E$6,2)</f>
        <v>0</v>
      </c>
      <c r="K9" s="16">
        <f t="shared" ref="K9:K40" si="4">MOD($B9*F$2+$C9*F$3+$D9*F$4+$E9*F$5+$F9*F$6,2)</f>
        <v>0</v>
      </c>
      <c r="L9" s="16">
        <f t="shared" ref="L9:L40" si="5">MOD($B9*G$2+$C9*G$3+$D9*G$4+$E9*G$5+$F9*G$6,2)</f>
        <v>0</v>
      </c>
      <c r="M9" s="16">
        <f t="shared" ref="M9:M40" si="6">MOD($B9*H$2+$C9*H$3+$D9*H$4+$E9*H$5+$F9*H$6,2)</f>
        <v>0</v>
      </c>
      <c r="N9" s="16">
        <f t="shared" ref="N9:N40" si="7">MOD($B9*I$2+$C9*I$3+$D9*I$4+$E9*I$5+$F9*I$6,2)</f>
        <v>0</v>
      </c>
      <c r="O9" s="16">
        <f t="shared" ref="O9:O40" si="8">MOD($B9*J$2+$C9*J$3+$D9*J$4+$E9*J$5+$F9*J$6,2)</f>
        <v>0</v>
      </c>
      <c r="P9" s="16">
        <f t="shared" ref="P9:P40" si="9">MOD($B9*K$2+$C9*K$3+$D9*K$4+$E9*K$5+$F9*K$6,2)</f>
        <v>0</v>
      </c>
      <c r="Q9" s="16">
        <f t="shared" ref="Q9:Q40" si="10">MOD($B9*L$2+$C9*L$3+$D9*L$4+$E9*L$5+$F9*L$6,2)</f>
        <v>0</v>
      </c>
      <c r="R9" s="17">
        <f t="shared" ref="R9:R40" si="11">SUM(G9:Q9)</f>
        <v>0</v>
      </c>
      <c r="T9" s="18" t="s">
        <v>11</v>
      </c>
      <c r="U9" s="19">
        <v>11</v>
      </c>
      <c r="AG9" s="20">
        <v>0</v>
      </c>
      <c r="AH9" s="21">
        <f t="array" ref="AH9">1-SUMPRODUCT(COUNTIF($R$9:$R$40,"="&amp;$T$18:$T$28)*AG9^$T$18:$T$28*(1-AG9)^($U$9-$T$18:$T$28))</f>
        <v>1</v>
      </c>
      <c r="AI9" s="21">
        <f t="shared" ref="AI9:AI19" si="12">SUM((1-AG9)^(U$9-T$17),11*AG9^T$18*(1-AG9)^(11-T$18))</f>
        <v>1</v>
      </c>
    </row>
    <row r="10" spans="1:35" x14ac:dyDescent="0.3">
      <c r="B10" s="15">
        <v>0</v>
      </c>
      <c r="C10" s="15">
        <v>0</v>
      </c>
      <c r="D10" s="15">
        <v>0</v>
      </c>
      <c r="E10" s="15">
        <v>0</v>
      </c>
      <c r="F10" s="15">
        <v>1</v>
      </c>
      <c r="G10" s="16">
        <f t="shared" si="0"/>
        <v>0</v>
      </c>
      <c r="H10" s="16">
        <f t="shared" si="1"/>
        <v>0</v>
      </c>
      <c r="I10" s="16">
        <f t="shared" si="2"/>
        <v>0</v>
      </c>
      <c r="J10" s="16">
        <f t="shared" si="3"/>
        <v>0</v>
      </c>
      <c r="K10" s="16">
        <f t="shared" si="4"/>
        <v>1</v>
      </c>
      <c r="L10" s="16">
        <f t="shared" si="5"/>
        <v>0</v>
      </c>
      <c r="M10" s="16">
        <f t="shared" si="6"/>
        <v>0</v>
      </c>
      <c r="N10" s="16">
        <f t="shared" si="7"/>
        <v>1</v>
      </c>
      <c r="O10" s="16">
        <f t="shared" si="8"/>
        <v>1</v>
      </c>
      <c r="P10" s="16">
        <f t="shared" si="9"/>
        <v>1</v>
      </c>
      <c r="Q10" s="16">
        <f t="shared" si="10"/>
        <v>1</v>
      </c>
      <c r="R10" s="17">
        <f t="shared" si="11"/>
        <v>5</v>
      </c>
      <c r="T10" s="18" t="s">
        <v>12</v>
      </c>
      <c r="U10" s="19">
        <v>5</v>
      </c>
      <c r="AG10" s="20">
        <f t="shared" ref="AG10:AG19" si="13">AG9+0.05</f>
        <v>0.05</v>
      </c>
      <c r="AH10" s="21">
        <f t="array" ref="AH10">1-SUMPRODUCT(COUNTIF($R$9:$R$40,"="&amp;$T$18:$T$28)*AG10^$T$18:$T$28*(1-AG10)^($U$9-$T$18:$T$28))</f>
        <v>0.99988917557177248</v>
      </c>
      <c r="AI10" s="21">
        <f t="shared" si="12"/>
        <v>0.89810540885756829</v>
      </c>
    </row>
    <row r="11" spans="1:35" x14ac:dyDescent="0.3">
      <c r="B11" s="15">
        <v>0</v>
      </c>
      <c r="C11" s="15">
        <v>0</v>
      </c>
      <c r="D11" s="15">
        <v>0</v>
      </c>
      <c r="E11" s="15">
        <v>1</v>
      </c>
      <c r="F11" s="15">
        <v>0</v>
      </c>
      <c r="G11" s="16">
        <f t="shared" si="0"/>
        <v>0</v>
      </c>
      <c r="H11" s="16">
        <f t="shared" si="1"/>
        <v>0</v>
      </c>
      <c r="I11" s="16">
        <f t="shared" si="2"/>
        <v>0</v>
      </c>
      <c r="J11" s="16">
        <f t="shared" si="3"/>
        <v>1</v>
      </c>
      <c r="K11" s="16">
        <f t="shared" si="4"/>
        <v>0</v>
      </c>
      <c r="L11" s="16">
        <f t="shared" si="5"/>
        <v>1</v>
      </c>
      <c r="M11" s="16">
        <f t="shared" si="6"/>
        <v>1</v>
      </c>
      <c r="N11" s="16">
        <f t="shared" si="7"/>
        <v>1</v>
      </c>
      <c r="O11" s="16">
        <f t="shared" si="8"/>
        <v>1</v>
      </c>
      <c r="P11" s="16">
        <f t="shared" si="9"/>
        <v>1</v>
      </c>
      <c r="Q11" s="16">
        <f t="shared" si="10"/>
        <v>1</v>
      </c>
      <c r="R11" s="17">
        <f t="shared" si="11"/>
        <v>7</v>
      </c>
      <c r="T11" s="22" t="s">
        <v>13</v>
      </c>
      <c r="U11" s="19">
        <v>0.2</v>
      </c>
      <c r="AG11" s="20">
        <f t="shared" si="13"/>
        <v>0.1</v>
      </c>
      <c r="AH11" s="21">
        <f t="array" ref="AH11">1-SUMPRODUCT(COUNTIF($R$9:$R$40,"="&amp;$T$18:$T$28)*AG11^$T$18:$T$28*(1-AG11)^($U$9-$T$18:$T$28))</f>
        <v>0.99924016249000003</v>
      </c>
      <c r="AI11" s="21">
        <f t="shared" si="12"/>
        <v>0.69735688020000031</v>
      </c>
    </row>
    <row r="12" spans="1:35" x14ac:dyDescent="0.3">
      <c r="B12" s="15">
        <v>0</v>
      </c>
      <c r="C12" s="15">
        <v>0</v>
      </c>
      <c r="D12" s="15">
        <v>0</v>
      </c>
      <c r="E12" s="15">
        <v>1</v>
      </c>
      <c r="F12" s="15">
        <v>1</v>
      </c>
      <c r="G12" s="16">
        <f t="shared" si="0"/>
        <v>0</v>
      </c>
      <c r="H12" s="16">
        <f t="shared" si="1"/>
        <v>0</v>
      </c>
      <c r="I12" s="16">
        <f t="shared" si="2"/>
        <v>0</v>
      </c>
      <c r="J12" s="16">
        <f t="shared" si="3"/>
        <v>1</v>
      </c>
      <c r="K12" s="16">
        <f t="shared" si="4"/>
        <v>1</v>
      </c>
      <c r="L12" s="16">
        <f t="shared" si="5"/>
        <v>1</v>
      </c>
      <c r="M12" s="16">
        <f t="shared" si="6"/>
        <v>1</v>
      </c>
      <c r="N12" s="16">
        <f t="shared" si="7"/>
        <v>0</v>
      </c>
      <c r="O12" s="16">
        <f t="shared" si="8"/>
        <v>0</v>
      </c>
      <c r="P12" s="16">
        <f t="shared" si="9"/>
        <v>0</v>
      </c>
      <c r="Q12" s="16">
        <f t="shared" si="10"/>
        <v>0</v>
      </c>
      <c r="R12" s="17">
        <f t="shared" si="11"/>
        <v>4</v>
      </c>
      <c r="T12" s="22" t="s">
        <v>14</v>
      </c>
      <c r="U12" s="19">
        <f>_xlfn.MINIFS(R9:R40,R9:R40,"&gt;0")</f>
        <v>3</v>
      </c>
      <c r="AG12" s="20">
        <f t="shared" si="13"/>
        <v>0.15000000000000002</v>
      </c>
      <c r="AH12" s="21">
        <f t="array" ref="AH12">1-SUMPRODUCT(COUNTIF($R$9:$R$40,"="&amp;$T$18:$T$28)*AG12^$T$18:$T$28*(1-AG12)^($U$9-$T$18:$T$28))</f>
        <v>0.99785925194117675</v>
      </c>
      <c r="AI12" s="21">
        <f t="shared" si="12"/>
        <v>0.49218601085180647</v>
      </c>
    </row>
    <row r="13" spans="1:35" x14ac:dyDescent="0.3">
      <c r="B13" s="15">
        <v>0</v>
      </c>
      <c r="C13" s="15">
        <v>0</v>
      </c>
      <c r="D13" s="15">
        <v>1</v>
      </c>
      <c r="E13" s="15">
        <v>0</v>
      </c>
      <c r="F13" s="15">
        <v>0</v>
      </c>
      <c r="G13" s="16">
        <f t="shared" si="0"/>
        <v>0</v>
      </c>
      <c r="H13" s="16">
        <f t="shared" si="1"/>
        <v>0</v>
      </c>
      <c r="I13" s="16">
        <f t="shared" si="2"/>
        <v>1</v>
      </c>
      <c r="J13" s="16">
        <f t="shared" si="3"/>
        <v>0</v>
      </c>
      <c r="K13" s="16">
        <f t="shared" si="4"/>
        <v>0</v>
      </c>
      <c r="L13" s="16">
        <f t="shared" si="5"/>
        <v>1</v>
      </c>
      <c r="M13" s="16">
        <f t="shared" si="6"/>
        <v>1</v>
      </c>
      <c r="N13" s="16">
        <f t="shared" si="7"/>
        <v>1</v>
      </c>
      <c r="O13" s="16">
        <f t="shared" si="8"/>
        <v>1</v>
      </c>
      <c r="P13" s="16">
        <f t="shared" si="9"/>
        <v>1</v>
      </c>
      <c r="Q13" s="16">
        <f t="shared" si="10"/>
        <v>0</v>
      </c>
      <c r="R13" s="17">
        <f t="shared" si="11"/>
        <v>6</v>
      </c>
      <c r="T13" s="22" t="s">
        <v>15</v>
      </c>
      <c r="U13" s="19">
        <f>U12-1</f>
        <v>2</v>
      </c>
      <c r="AG13" s="20">
        <f t="shared" si="13"/>
        <v>0.2</v>
      </c>
      <c r="AH13" s="21">
        <f t="array" ref="AH13">1-SUMPRODUCT(COUNTIF($R$9:$R$40,"="&amp;$T$18:$T$28)*AG13^$T$18:$T$28*(1-AG13)^($U$9-$T$18:$T$28))</f>
        <v>0.99585124351999998</v>
      </c>
      <c r="AI13" s="21">
        <f t="shared" si="12"/>
        <v>0.32212254720000033</v>
      </c>
    </row>
    <row r="14" spans="1:35" x14ac:dyDescent="0.3">
      <c r="B14" s="15">
        <v>0</v>
      </c>
      <c r="C14" s="15">
        <v>0</v>
      </c>
      <c r="D14" s="15">
        <v>1</v>
      </c>
      <c r="E14" s="15">
        <v>0</v>
      </c>
      <c r="F14" s="15">
        <v>1</v>
      </c>
      <c r="G14" s="16">
        <f t="shared" si="0"/>
        <v>0</v>
      </c>
      <c r="H14" s="16">
        <f t="shared" si="1"/>
        <v>0</v>
      </c>
      <c r="I14" s="16">
        <f t="shared" si="2"/>
        <v>1</v>
      </c>
      <c r="J14" s="16">
        <f t="shared" si="3"/>
        <v>0</v>
      </c>
      <c r="K14" s="16">
        <f t="shared" si="4"/>
        <v>1</v>
      </c>
      <c r="L14" s="16">
        <f t="shared" si="5"/>
        <v>1</v>
      </c>
      <c r="M14" s="16">
        <f t="shared" si="6"/>
        <v>1</v>
      </c>
      <c r="N14" s="16">
        <f t="shared" si="7"/>
        <v>0</v>
      </c>
      <c r="O14" s="16">
        <f t="shared" si="8"/>
        <v>0</v>
      </c>
      <c r="P14" s="16">
        <f t="shared" si="9"/>
        <v>0</v>
      </c>
      <c r="Q14" s="16">
        <f t="shared" si="10"/>
        <v>1</v>
      </c>
      <c r="R14" s="17">
        <f t="shared" si="11"/>
        <v>5</v>
      </c>
      <c r="T14" s="22" t="s">
        <v>16</v>
      </c>
      <c r="U14" s="19">
        <f>INT((U12-1)/2)</f>
        <v>1</v>
      </c>
      <c r="AG14" s="20">
        <f t="shared" si="13"/>
        <v>0.25</v>
      </c>
      <c r="AH14" s="21">
        <f t="array" ref="AH14">1-SUMPRODUCT(COUNTIF($R$9:$R$40,"="&amp;$T$18:$T$28)*AG14^$T$18:$T$28*(1-AG14)^($U$9-$T$18:$T$28))</f>
        <v>0.99348330497741699</v>
      </c>
      <c r="AI14" s="21">
        <f t="shared" si="12"/>
        <v>0.1970973014831543</v>
      </c>
    </row>
    <row r="15" spans="1:35" x14ac:dyDescent="0.3">
      <c r="B15" s="15">
        <v>0</v>
      </c>
      <c r="C15" s="15">
        <v>0</v>
      </c>
      <c r="D15" s="15">
        <v>1</v>
      </c>
      <c r="E15" s="15">
        <v>1</v>
      </c>
      <c r="F15" s="15">
        <v>0</v>
      </c>
      <c r="G15" s="16">
        <f t="shared" si="0"/>
        <v>0</v>
      </c>
      <c r="H15" s="16">
        <f t="shared" si="1"/>
        <v>0</v>
      </c>
      <c r="I15" s="16">
        <f t="shared" si="2"/>
        <v>1</v>
      </c>
      <c r="J15" s="16">
        <f t="shared" si="3"/>
        <v>1</v>
      </c>
      <c r="K15" s="16">
        <f t="shared" si="4"/>
        <v>0</v>
      </c>
      <c r="L15" s="16">
        <f t="shared" si="5"/>
        <v>0</v>
      </c>
      <c r="M15" s="16">
        <f t="shared" si="6"/>
        <v>0</v>
      </c>
      <c r="N15" s="16">
        <f t="shared" si="7"/>
        <v>0</v>
      </c>
      <c r="O15" s="16">
        <f t="shared" si="8"/>
        <v>0</v>
      </c>
      <c r="P15" s="16">
        <f t="shared" si="9"/>
        <v>0</v>
      </c>
      <c r="Q15" s="16">
        <f t="shared" si="10"/>
        <v>1</v>
      </c>
      <c r="R15" s="17">
        <f t="shared" si="11"/>
        <v>3</v>
      </c>
      <c r="AG15" s="20">
        <f t="shared" si="13"/>
        <v>0.3</v>
      </c>
      <c r="AH15" s="21">
        <f t="array" ref="AH15">1-SUMPRODUCT(COUNTIF($R$9:$R$40,"="&amp;$T$18:$T$28)*AG15^$T$18:$T$28*(1-AG15)^($U$9-$T$18:$T$28))</f>
        <v>0.99105997303000004</v>
      </c>
      <c r="AI15" s="21">
        <f t="shared" si="12"/>
        <v>0.11299009959999992</v>
      </c>
    </row>
    <row r="16" spans="1:35" x14ac:dyDescent="0.3">
      <c r="B16" s="15">
        <v>0</v>
      </c>
      <c r="C16" s="15">
        <v>0</v>
      </c>
      <c r="D16" s="15">
        <v>1</v>
      </c>
      <c r="E16" s="15">
        <v>1</v>
      </c>
      <c r="F16" s="15">
        <v>1</v>
      </c>
      <c r="G16" s="16">
        <f t="shared" si="0"/>
        <v>0</v>
      </c>
      <c r="H16" s="16">
        <f t="shared" si="1"/>
        <v>0</v>
      </c>
      <c r="I16" s="16">
        <f t="shared" si="2"/>
        <v>1</v>
      </c>
      <c r="J16" s="16">
        <f t="shared" si="3"/>
        <v>1</v>
      </c>
      <c r="K16" s="16">
        <f t="shared" si="4"/>
        <v>1</v>
      </c>
      <c r="L16" s="16">
        <f t="shared" si="5"/>
        <v>0</v>
      </c>
      <c r="M16" s="16">
        <f t="shared" si="6"/>
        <v>0</v>
      </c>
      <c r="N16" s="16">
        <f t="shared" si="7"/>
        <v>1</v>
      </c>
      <c r="O16" s="16">
        <f t="shared" si="8"/>
        <v>1</v>
      </c>
      <c r="P16" s="16">
        <f t="shared" si="9"/>
        <v>1</v>
      </c>
      <c r="Q16" s="16">
        <f t="shared" si="10"/>
        <v>0</v>
      </c>
      <c r="R16" s="17">
        <f t="shared" si="11"/>
        <v>6</v>
      </c>
      <c r="T16" s="23" t="s">
        <v>17</v>
      </c>
      <c r="U16" s="23" t="s">
        <v>18</v>
      </c>
      <c r="W16" s="14" t="s">
        <v>17</v>
      </c>
      <c r="X16" s="14" t="s">
        <v>19</v>
      </c>
      <c r="Y16" s="14" t="s">
        <v>20</v>
      </c>
      <c r="Z16" s="14" t="s">
        <v>18</v>
      </c>
      <c r="AA16" s="14" t="s">
        <v>21</v>
      </c>
      <c r="AB16" s="14" t="s">
        <v>22</v>
      </c>
      <c r="AC16" s="14" t="s">
        <v>23</v>
      </c>
      <c r="AD16" s="14" t="s">
        <v>9</v>
      </c>
      <c r="AE16" s="14" t="s">
        <v>10</v>
      </c>
      <c r="AG16" s="20">
        <f t="shared" si="13"/>
        <v>0.35</v>
      </c>
      <c r="AH16" s="21">
        <f t="array" ref="AH16">1-SUMPRODUCT(COUNTIF($R$9:$R$40,"="&amp;$T$18:$T$28)*AG16^$T$18:$T$28*(1-AG16)^($U$9-$T$18:$T$28))</f>
        <v>0.98884174055057128</v>
      </c>
      <c r="AI16" s="21">
        <f t="shared" si="12"/>
        <v>6.0582345050830093E-2</v>
      </c>
    </row>
    <row r="17" spans="2:35" x14ac:dyDescent="0.3">
      <c r="B17" s="15">
        <v>0</v>
      </c>
      <c r="C17" s="15">
        <v>1</v>
      </c>
      <c r="D17" s="15">
        <v>0</v>
      </c>
      <c r="E17" s="15">
        <v>0</v>
      </c>
      <c r="F17" s="15">
        <v>0</v>
      </c>
      <c r="G17" s="16">
        <f t="shared" si="0"/>
        <v>0</v>
      </c>
      <c r="H17" s="16">
        <f t="shared" si="1"/>
        <v>1</v>
      </c>
      <c r="I17" s="16">
        <f t="shared" si="2"/>
        <v>0</v>
      </c>
      <c r="J17" s="16">
        <f t="shared" si="3"/>
        <v>0</v>
      </c>
      <c r="K17" s="16">
        <f t="shared" si="4"/>
        <v>0</v>
      </c>
      <c r="L17" s="16">
        <f t="shared" si="5"/>
        <v>0</v>
      </c>
      <c r="M17" s="16">
        <f t="shared" si="6"/>
        <v>1</v>
      </c>
      <c r="N17" s="16">
        <f t="shared" si="7"/>
        <v>0</v>
      </c>
      <c r="O17" s="16">
        <f t="shared" si="8"/>
        <v>1</v>
      </c>
      <c r="P17" s="16">
        <f t="shared" si="9"/>
        <v>1</v>
      </c>
      <c r="Q17" s="16">
        <f t="shared" si="10"/>
        <v>1</v>
      </c>
      <c r="R17" s="17">
        <f t="shared" si="11"/>
        <v>5</v>
      </c>
      <c r="T17" s="16">
        <v>0</v>
      </c>
      <c r="U17" s="21">
        <f>COUNTIF(R$9:R$40,"=0")</f>
        <v>1</v>
      </c>
      <c r="W17" s="16">
        <f t="shared" ref="W17:W28" si="14">T17</f>
        <v>0</v>
      </c>
      <c r="X17" s="16">
        <f t="shared" ref="X17:X28" si="15">IF(AND(W17=0,U$11=0),1,U$11^W17)</f>
        <v>1</v>
      </c>
      <c r="Y17" s="16">
        <f t="shared" ref="Y17:Y28" si="16">(1-U$11)^(U$9-W17)</f>
        <v>8.5899345920000092E-2</v>
      </c>
      <c r="Z17" s="16">
        <f t="shared" ref="Z17:Z28" si="17">U17</f>
        <v>1</v>
      </c>
      <c r="AA17" s="16">
        <f t="shared" ref="AA17:AA28" si="18">IF(W17=0,0,Z17*X17*Y17)</f>
        <v>0</v>
      </c>
      <c r="AB17" s="16">
        <f t="shared" ref="AB17:AB28" si="19">COMBIN(U$9,W17)</f>
        <v>1</v>
      </c>
      <c r="AC17" s="16">
        <f t="shared" ref="AC17:AC28" si="20">AB17*X17*Y17</f>
        <v>8.5899345920000092E-2</v>
      </c>
      <c r="AD17" s="24">
        <f>1-SUM(AA17:AA28)</f>
        <v>0.99585124351999998</v>
      </c>
      <c r="AE17" s="24">
        <f>IF(U14=0,0,SUM(AC17:INDEX(AC17:AC28,1+U14)))</f>
        <v>0.32212254720000033</v>
      </c>
      <c r="AG17" s="20">
        <f t="shared" si="13"/>
        <v>0.39999999999999997</v>
      </c>
      <c r="AH17" s="21">
        <f t="array" ref="AH17">1-SUMPRODUCT(COUNTIF($R$9:$R$40,"="&amp;$T$18:$T$28)*AG17^$T$18:$T$28*(1-AG17)^($U$9-$T$18:$T$28))</f>
        <v>0.98701060096000004</v>
      </c>
      <c r="AI17" s="21">
        <f t="shared" si="12"/>
        <v>3.0233088000000036E-2</v>
      </c>
    </row>
    <row r="18" spans="2:35" x14ac:dyDescent="0.3">
      <c r="B18" s="15">
        <v>0</v>
      </c>
      <c r="C18" s="15">
        <v>1</v>
      </c>
      <c r="D18" s="15">
        <v>0</v>
      </c>
      <c r="E18" s="15">
        <v>0</v>
      </c>
      <c r="F18" s="15">
        <v>1</v>
      </c>
      <c r="G18" s="16">
        <f t="shared" si="0"/>
        <v>0</v>
      </c>
      <c r="H18" s="16">
        <f t="shared" si="1"/>
        <v>1</v>
      </c>
      <c r="I18" s="16">
        <f t="shared" si="2"/>
        <v>0</v>
      </c>
      <c r="J18" s="16">
        <f t="shared" si="3"/>
        <v>0</v>
      </c>
      <c r="K18" s="16">
        <f t="shared" si="4"/>
        <v>1</v>
      </c>
      <c r="L18" s="16">
        <f t="shared" si="5"/>
        <v>0</v>
      </c>
      <c r="M18" s="16">
        <f t="shared" si="6"/>
        <v>1</v>
      </c>
      <c r="N18" s="16">
        <f t="shared" si="7"/>
        <v>1</v>
      </c>
      <c r="O18" s="16">
        <f t="shared" si="8"/>
        <v>0</v>
      </c>
      <c r="P18" s="16">
        <f t="shared" si="9"/>
        <v>0</v>
      </c>
      <c r="Q18" s="16">
        <f t="shared" si="10"/>
        <v>0</v>
      </c>
      <c r="R18" s="17">
        <f t="shared" si="11"/>
        <v>4</v>
      </c>
      <c r="T18" s="16">
        <f t="shared" ref="T18:T28" si="21">T17+1</f>
        <v>1</v>
      </c>
      <c r="U18" s="21">
        <f>COUNTIF(R$9:R$40,"=1")</f>
        <v>0</v>
      </c>
      <c r="W18" s="16">
        <f t="shared" si="14"/>
        <v>1</v>
      </c>
      <c r="X18" s="16">
        <f t="shared" si="15"/>
        <v>0.2</v>
      </c>
      <c r="Y18" s="16">
        <f t="shared" si="16"/>
        <v>0.10737418240000011</v>
      </c>
      <c r="Z18" s="16">
        <f t="shared" si="17"/>
        <v>0</v>
      </c>
      <c r="AA18" s="16">
        <f t="shared" si="18"/>
        <v>0</v>
      </c>
      <c r="AB18" s="16">
        <f t="shared" si="19"/>
        <v>11</v>
      </c>
      <c r="AC18" s="16">
        <f t="shared" si="20"/>
        <v>0.23622320128000027</v>
      </c>
      <c r="AG18" s="20">
        <f t="shared" si="13"/>
        <v>0.44999999999999996</v>
      </c>
      <c r="AH18" s="21">
        <f t="array" ref="AH18">1-SUMPRODUCT(COUNTIF($R$9:$R$40,"="&amp;$T$18:$T$28)*AG18^$T$18:$T$28*(1-AG18)^($U$9-$T$18:$T$28))</f>
        <v>0.98567021493696783</v>
      </c>
      <c r="AI18" s="21">
        <f t="shared" si="12"/>
        <v>1.3931233916552741E-2</v>
      </c>
    </row>
    <row r="19" spans="2:35" x14ac:dyDescent="0.3">
      <c r="B19" s="15">
        <v>0</v>
      </c>
      <c r="C19" s="15">
        <v>1</v>
      </c>
      <c r="D19" s="15">
        <v>0</v>
      </c>
      <c r="E19" s="15">
        <v>1</v>
      </c>
      <c r="F19" s="15">
        <v>0</v>
      </c>
      <c r="G19" s="16">
        <f t="shared" si="0"/>
        <v>0</v>
      </c>
      <c r="H19" s="16">
        <f t="shared" si="1"/>
        <v>1</v>
      </c>
      <c r="I19" s="16">
        <f t="shared" si="2"/>
        <v>0</v>
      </c>
      <c r="J19" s="16">
        <f t="shared" si="3"/>
        <v>1</v>
      </c>
      <c r="K19" s="16">
        <f t="shared" si="4"/>
        <v>0</v>
      </c>
      <c r="L19" s="16">
        <f t="shared" si="5"/>
        <v>1</v>
      </c>
      <c r="M19" s="16">
        <f t="shared" si="6"/>
        <v>0</v>
      </c>
      <c r="N19" s="16">
        <f t="shared" si="7"/>
        <v>1</v>
      </c>
      <c r="O19" s="16">
        <f t="shared" si="8"/>
        <v>0</v>
      </c>
      <c r="P19" s="16">
        <f t="shared" si="9"/>
        <v>0</v>
      </c>
      <c r="Q19" s="16">
        <f t="shared" si="10"/>
        <v>0</v>
      </c>
      <c r="R19" s="17">
        <f t="shared" si="11"/>
        <v>4</v>
      </c>
      <c r="T19" s="16">
        <f t="shared" si="21"/>
        <v>2</v>
      </c>
      <c r="U19" s="21">
        <f>COUNTIF(R$9:R$40,"=2")</f>
        <v>0</v>
      </c>
      <c r="W19" s="16">
        <f t="shared" si="14"/>
        <v>2</v>
      </c>
      <c r="X19" s="16">
        <f t="shared" si="15"/>
        <v>4.0000000000000008E-2</v>
      </c>
      <c r="Y19" s="16">
        <f t="shared" si="16"/>
        <v>0.13421772800000012</v>
      </c>
      <c r="Z19" s="16">
        <f t="shared" si="17"/>
        <v>0</v>
      </c>
      <c r="AA19" s="16">
        <f t="shared" si="18"/>
        <v>0</v>
      </c>
      <c r="AB19" s="16">
        <f t="shared" si="19"/>
        <v>55</v>
      </c>
      <c r="AC19" s="16">
        <f t="shared" si="20"/>
        <v>0.29527900160000037</v>
      </c>
      <c r="AG19" s="20">
        <f t="shared" si="13"/>
        <v>0.49999999999999994</v>
      </c>
      <c r="AH19" s="21">
        <f t="array" ref="AH19">1-SUMPRODUCT(COUNTIF($R$9:$R$40,"="&amp;$T$18:$T$28)*AG19^$T$18:$T$28*(1-AG19)^($U$9-$T$18:$T$28))</f>
        <v>0.98486328125</v>
      </c>
      <c r="AI19" s="21">
        <f t="shared" si="12"/>
        <v>5.8593749999999991E-3</v>
      </c>
    </row>
    <row r="20" spans="2:35" x14ac:dyDescent="0.3">
      <c r="B20" s="15">
        <v>0</v>
      </c>
      <c r="C20" s="15">
        <v>1</v>
      </c>
      <c r="D20" s="15">
        <v>0</v>
      </c>
      <c r="E20" s="15">
        <v>1</v>
      </c>
      <c r="F20" s="15">
        <v>1</v>
      </c>
      <c r="G20" s="16">
        <f t="shared" si="0"/>
        <v>0</v>
      </c>
      <c r="H20" s="16">
        <f t="shared" si="1"/>
        <v>1</v>
      </c>
      <c r="I20" s="16">
        <f t="shared" si="2"/>
        <v>0</v>
      </c>
      <c r="J20" s="16">
        <f t="shared" si="3"/>
        <v>1</v>
      </c>
      <c r="K20" s="16">
        <f t="shared" si="4"/>
        <v>1</v>
      </c>
      <c r="L20" s="16">
        <f t="shared" si="5"/>
        <v>1</v>
      </c>
      <c r="M20" s="16">
        <f t="shared" si="6"/>
        <v>0</v>
      </c>
      <c r="N20" s="16">
        <f t="shared" si="7"/>
        <v>0</v>
      </c>
      <c r="O20" s="16">
        <f t="shared" si="8"/>
        <v>1</v>
      </c>
      <c r="P20" s="16">
        <f t="shared" si="9"/>
        <v>1</v>
      </c>
      <c r="Q20" s="16">
        <f t="shared" si="10"/>
        <v>1</v>
      </c>
      <c r="R20" s="17">
        <f t="shared" si="11"/>
        <v>7</v>
      </c>
      <c r="T20" s="16">
        <f t="shared" si="21"/>
        <v>3</v>
      </c>
      <c r="U20" s="21">
        <f>COUNTIF(R$9:R$40,"=3")</f>
        <v>1</v>
      </c>
      <c r="W20" s="16">
        <f t="shared" si="14"/>
        <v>3</v>
      </c>
      <c r="X20" s="16">
        <f t="shared" si="15"/>
        <v>8.0000000000000019E-3</v>
      </c>
      <c r="Y20" s="16">
        <f t="shared" si="16"/>
        <v>0.16777216000000014</v>
      </c>
      <c r="Z20" s="16">
        <f t="shared" si="17"/>
        <v>1</v>
      </c>
      <c r="AA20" s="16">
        <f t="shared" si="18"/>
        <v>1.3421772800000014E-3</v>
      </c>
      <c r="AB20" s="16">
        <f t="shared" si="19"/>
        <v>165</v>
      </c>
      <c r="AC20" s="16">
        <f t="shared" si="20"/>
        <v>0.22145925120000023</v>
      </c>
    </row>
    <row r="21" spans="2:35" x14ac:dyDescent="0.3">
      <c r="B21" s="15">
        <v>0</v>
      </c>
      <c r="C21" s="15">
        <v>1</v>
      </c>
      <c r="D21" s="15">
        <v>1</v>
      </c>
      <c r="E21" s="15">
        <v>0</v>
      </c>
      <c r="F21" s="15">
        <v>0</v>
      </c>
      <c r="G21" s="16">
        <f t="shared" si="0"/>
        <v>0</v>
      </c>
      <c r="H21" s="16">
        <f t="shared" si="1"/>
        <v>1</v>
      </c>
      <c r="I21" s="16">
        <f t="shared" si="2"/>
        <v>1</v>
      </c>
      <c r="J21" s="16">
        <f t="shared" si="3"/>
        <v>0</v>
      </c>
      <c r="K21" s="16">
        <f t="shared" si="4"/>
        <v>0</v>
      </c>
      <c r="L21" s="16">
        <f t="shared" si="5"/>
        <v>1</v>
      </c>
      <c r="M21" s="16">
        <f t="shared" si="6"/>
        <v>0</v>
      </c>
      <c r="N21" s="16">
        <f t="shared" si="7"/>
        <v>1</v>
      </c>
      <c r="O21" s="16">
        <f t="shared" si="8"/>
        <v>0</v>
      </c>
      <c r="P21" s="16">
        <f t="shared" si="9"/>
        <v>0</v>
      </c>
      <c r="Q21" s="16">
        <f t="shared" si="10"/>
        <v>1</v>
      </c>
      <c r="R21" s="17">
        <f t="shared" si="11"/>
        <v>5</v>
      </c>
      <c r="T21" s="16">
        <f t="shared" si="21"/>
        <v>4</v>
      </c>
      <c r="U21" s="21">
        <f>COUNTIF(R$9:R$40,"=4")</f>
        <v>6</v>
      </c>
      <c r="W21" s="16">
        <f t="shared" si="14"/>
        <v>4</v>
      </c>
      <c r="X21" s="16">
        <f t="shared" si="15"/>
        <v>1.6000000000000007E-3</v>
      </c>
      <c r="Y21" s="16">
        <f t="shared" si="16"/>
        <v>0.20971520000000016</v>
      </c>
      <c r="Z21" s="16">
        <f t="shared" si="17"/>
        <v>6</v>
      </c>
      <c r="AA21" s="16">
        <f t="shared" si="18"/>
        <v>2.0132659200000026E-3</v>
      </c>
      <c r="AB21" s="16">
        <f t="shared" si="19"/>
        <v>330</v>
      </c>
      <c r="AC21" s="16">
        <f t="shared" si="20"/>
        <v>0.11072962560000013</v>
      </c>
    </row>
    <row r="22" spans="2:35" x14ac:dyDescent="0.3">
      <c r="B22" s="15">
        <v>0</v>
      </c>
      <c r="C22" s="15">
        <v>1</v>
      </c>
      <c r="D22" s="15">
        <v>1</v>
      </c>
      <c r="E22" s="15">
        <v>0</v>
      </c>
      <c r="F22" s="15">
        <v>1</v>
      </c>
      <c r="G22" s="16">
        <f t="shared" si="0"/>
        <v>0</v>
      </c>
      <c r="H22" s="16">
        <f t="shared" si="1"/>
        <v>1</v>
      </c>
      <c r="I22" s="16">
        <f t="shared" si="2"/>
        <v>1</v>
      </c>
      <c r="J22" s="16">
        <f t="shared" si="3"/>
        <v>0</v>
      </c>
      <c r="K22" s="16">
        <f t="shared" si="4"/>
        <v>1</v>
      </c>
      <c r="L22" s="16">
        <f t="shared" si="5"/>
        <v>1</v>
      </c>
      <c r="M22" s="16">
        <f t="shared" si="6"/>
        <v>0</v>
      </c>
      <c r="N22" s="16">
        <f t="shared" si="7"/>
        <v>0</v>
      </c>
      <c r="O22" s="16">
        <f t="shared" si="8"/>
        <v>1</v>
      </c>
      <c r="P22" s="16">
        <f t="shared" si="9"/>
        <v>1</v>
      </c>
      <c r="Q22" s="16">
        <f t="shared" si="10"/>
        <v>0</v>
      </c>
      <c r="R22" s="17">
        <f t="shared" si="11"/>
        <v>6</v>
      </c>
      <c r="T22" s="16">
        <f t="shared" si="21"/>
        <v>5</v>
      </c>
      <c r="U22" s="21">
        <f>COUNTIF(R$9:R$40,"=5")</f>
        <v>7</v>
      </c>
      <c r="W22" s="16">
        <f t="shared" si="14"/>
        <v>5</v>
      </c>
      <c r="X22" s="16">
        <f t="shared" si="15"/>
        <v>3.2000000000000019E-4</v>
      </c>
      <c r="Y22" s="16">
        <f t="shared" si="16"/>
        <v>0.26214400000000015</v>
      </c>
      <c r="Z22" s="16">
        <f t="shared" si="17"/>
        <v>7</v>
      </c>
      <c r="AA22" s="16">
        <f t="shared" si="18"/>
        <v>5.8720256000000079E-4</v>
      </c>
      <c r="AB22" s="16">
        <f t="shared" si="19"/>
        <v>461.99999999999994</v>
      </c>
      <c r="AC22" s="16">
        <f t="shared" si="20"/>
        <v>3.8755368960000043E-2</v>
      </c>
    </row>
    <row r="23" spans="2:35" x14ac:dyDescent="0.3">
      <c r="B23" s="15">
        <v>0</v>
      </c>
      <c r="C23" s="15">
        <v>1</v>
      </c>
      <c r="D23" s="15">
        <v>1</v>
      </c>
      <c r="E23" s="15">
        <v>1</v>
      </c>
      <c r="F23" s="15">
        <v>0</v>
      </c>
      <c r="G23" s="16">
        <f t="shared" si="0"/>
        <v>0</v>
      </c>
      <c r="H23" s="16">
        <f t="shared" si="1"/>
        <v>1</v>
      </c>
      <c r="I23" s="16">
        <f t="shared" si="2"/>
        <v>1</v>
      </c>
      <c r="J23" s="16">
        <f t="shared" si="3"/>
        <v>1</v>
      </c>
      <c r="K23" s="16">
        <f t="shared" si="4"/>
        <v>0</v>
      </c>
      <c r="L23" s="16">
        <f t="shared" si="5"/>
        <v>0</v>
      </c>
      <c r="M23" s="16">
        <f t="shared" si="6"/>
        <v>1</v>
      </c>
      <c r="N23" s="16">
        <f t="shared" si="7"/>
        <v>0</v>
      </c>
      <c r="O23" s="16">
        <f t="shared" si="8"/>
        <v>1</v>
      </c>
      <c r="P23" s="16">
        <f t="shared" si="9"/>
        <v>1</v>
      </c>
      <c r="Q23" s="16">
        <f t="shared" si="10"/>
        <v>0</v>
      </c>
      <c r="R23" s="17">
        <f t="shared" si="11"/>
        <v>6</v>
      </c>
      <c r="T23" s="16">
        <f t="shared" si="21"/>
        <v>6</v>
      </c>
      <c r="U23" s="21">
        <f>COUNTIF(R$9:R$40,"=6")</f>
        <v>8</v>
      </c>
      <c r="W23" s="16">
        <f t="shared" si="14"/>
        <v>6</v>
      </c>
      <c r="X23" s="16">
        <f t="shared" si="15"/>
        <v>6.4000000000000038E-5</v>
      </c>
      <c r="Y23" s="16">
        <f t="shared" si="16"/>
        <v>0.32768000000000019</v>
      </c>
      <c r="Z23" s="16">
        <f t="shared" si="17"/>
        <v>8</v>
      </c>
      <c r="AA23" s="16">
        <f t="shared" si="18"/>
        <v>1.6777216000000021E-4</v>
      </c>
      <c r="AB23" s="16">
        <f t="shared" si="19"/>
        <v>461.99999999999994</v>
      </c>
      <c r="AC23" s="16">
        <f t="shared" si="20"/>
        <v>9.6888422400000108E-3</v>
      </c>
    </row>
    <row r="24" spans="2:35" x14ac:dyDescent="0.3">
      <c r="B24" s="15">
        <v>0</v>
      </c>
      <c r="C24" s="15">
        <v>1</v>
      </c>
      <c r="D24" s="15">
        <v>1</v>
      </c>
      <c r="E24" s="15">
        <v>1</v>
      </c>
      <c r="F24" s="15">
        <v>1</v>
      </c>
      <c r="G24" s="16">
        <f t="shared" si="0"/>
        <v>0</v>
      </c>
      <c r="H24" s="16">
        <f t="shared" si="1"/>
        <v>1</v>
      </c>
      <c r="I24" s="16">
        <f t="shared" si="2"/>
        <v>1</v>
      </c>
      <c r="J24" s="16">
        <f t="shared" si="3"/>
        <v>1</v>
      </c>
      <c r="K24" s="16">
        <f t="shared" si="4"/>
        <v>1</v>
      </c>
      <c r="L24" s="16">
        <f t="shared" si="5"/>
        <v>0</v>
      </c>
      <c r="M24" s="16">
        <f t="shared" si="6"/>
        <v>1</v>
      </c>
      <c r="N24" s="16">
        <f t="shared" si="7"/>
        <v>1</v>
      </c>
      <c r="O24" s="16">
        <f t="shared" si="8"/>
        <v>0</v>
      </c>
      <c r="P24" s="16">
        <f t="shared" si="9"/>
        <v>0</v>
      </c>
      <c r="Q24" s="16">
        <f t="shared" si="10"/>
        <v>1</v>
      </c>
      <c r="R24" s="17">
        <f t="shared" si="11"/>
        <v>7</v>
      </c>
      <c r="T24" s="16">
        <f t="shared" si="21"/>
        <v>7</v>
      </c>
      <c r="U24" s="21">
        <f>COUNTIF(R$9:R$40,"=7")</f>
        <v>7</v>
      </c>
      <c r="W24" s="16">
        <f t="shared" si="14"/>
        <v>7</v>
      </c>
      <c r="X24" s="16">
        <f t="shared" si="15"/>
        <v>1.280000000000001E-5</v>
      </c>
      <c r="Y24" s="16">
        <f t="shared" si="16"/>
        <v>0.40960000000000019</v>
      </c>
      <c r="Z24" s="16">
        <f t="shared" si="17"/>
        <v>7</v>
      </c>
      <c r="AA24" s="16">
        <f t="shared" si="18"/>
        <v>3.6700160000000043E-5</v>
      </c>
      <c r="AB24" s="16">
        <f t="shared" si="19"/>
        <v>330</v>
      </c>
      <c r="AC24" s="16">
        <f t="shared" si="20"/>
        <v>1.730150400000002E-3</v>
      </c>
    </row>
    <row r="25" spans="2:35" x14ac:dyDescent="0.3">
      <c r="B25" s="15">
        <v>1</v>
      </c>
      <c r="C25" s="15">
        <v>0</v>
      </c>
      <c r="D25" s="15">
        <v>0</v>
      </c>
      <c r="E25" s="15">
        <v>0</v>
      </c>
      <c r="F25" s="15">
        <v>0</v>
      </c>
      <c r="G25" s="16">
        <f t="shared" si="0"/>
        <v>1</v>
      </c>
      <c r="H25" s="16">
        <f t="shared" si="1"/>
        <v>0</v>
      </c>
      <c r="I25" s="16">
        <f t="shared" si="2"/>
        <v>0</v>
      </c>
      <c r="J25" s="16">
        <f t="shared" si="3"/>
        <v>0</v>
      </c>
      <c r="K25" s="16">
        <f t="shared" si="4"/>
        <v>0</v>
      </c>
      <c r="L25" s="16">
        <f t="shared" si="5"/>
        <v>0</v>
      </c>
      <c r="M25" s="16">
        <f t="shared" si="6"/>
        <v>1</v>
      </c>
      <c r="N25" s="16">
        <f t="shared" si="7"/>
        <v>1</v>
      </c>
      <c r="O25" s="16">
        <f t="shared" si="8"/>
        <v>1</v>
      </c>
      <c r="P25" s="16">
        <f t="shared" si="9"/>
        <v>0</v>
      </c>
      <c r="Q25" s="16">
        <f t="shared" si="10"/>
        <v>1</v>
      </c>
      <c r="R25" s="17">
        <f t="shared" si="11"/>
        <v>5</v>
      </c>
      <c r="T25" s="16">
        <f t="shared" si="21"/>
        <v>8</v>
      </c>
      <c r="U25" s="21">
        <f>COUNTIF(R$9:R$40,"=8")</f>
        <v>1</v>
      </c>
      <c r="W25" s="16">
        <f t="shared" si="14"/>
        <v>8</v>
      </c>
      <c r="X25" s="16">
        <f t="shared" si="15"/>
        <v>2.5600000000000022E-6</v>
      </c>
      <c r="Y25" s="16">
        <f t="shared" si="16"/>
        <v>0.51200000000000012</v>
      </c>
      <c r="Z25" s="16">
        <f t="shared" si="17"/>
        <v>1</v>
      </c>
      <c r="AA25" s="16">
        <f t="shared" si="18"/>
        <v>1.3107200000000014E-6</v>
      </c>
      <c r="AB25" s="16">
        <f t="shared" si="19"/>
        <v>165</v>
      </c>
      <c r="AC25" s="16">
        <f t="shared" si="20"/>
        <v>2.1626880000000023E-4</v>
      </c>
    </row>
    <row r="26" spans="2:35" x14ac:dyDescent="0.3">
      <c r="B26" s="15">
        <v>1</v>
      </c>
      <c r="C26" s="15">
        <v>0</v>
      </c>
      <c r="D26" s="15">
        <v>0</v>
      </c>
      <c r="E26" s="15">
        <v>0</v>
      </c>
      <c r="F26" s="15">
        <v>1</v>
      </c>
      <c r="G26" s="16">
        <f t="shared" si="0"/>
        <v>1</v>
      </c>
      <c r="H26" s="16">
        <f t="shared" si="1"/>
        <v>0</v>
      </c>
      <c r="I26" s="16">
        <f t="shared" si="2"/>
        <v>0</v>
      </c>
      <c r="J26" s="16">
        <f t="shared" si="3"/>
        <v>0</v>
      </c>
      <c r="K26" s="16">
        <f t="shared" si="4"/>
        <v>1</v>
      </c>
      <c r="L26" s="16">
        <f t="shared" si="5"/>
        <v>0</v>
      </c>
      <c r="M26" s="16">
        <f t="shared" si="6"/>
        <v>1</v>
      </c>
      <c r="N26" s="16">
        <f t="shared" si="7"/>
        <v>0</v>
      </c>
      <c r="O26" s="16">
        <f t="shared" si="8"/>
        <v>0</v>
      </c>
      <c r="P26" s="16">
        <f t="shared" si="9"/>
        <v>1</v>
      </c>
      <c r="Q26" s="16">
        <f t="shared" si="10"/>
        <v>0</v>
      </c>
      <c r="R26" s="17">
        <f t="shared" si="11"/>
        <v>4</v>
      </c>
      <c r="T26" s="16">
        <f t="shared" si="21"/>
        <v>9</v>
      </c>
      <c r="U26" s="21">
        <f>COUNTIF(R$9:R$40,"=9")</f>
        <v>1</v>
      </c>
      <c r="W26" s="16">
        <f t="shared" si="14"/>
        <v>9</v>
      </c>
      <c r="X26" s="16">
        <f t="shared" si="15"/>
        <v>5.1200000000000046E-7</v>
      </c>
      <c r="Y26" s="16">
        <f t="shared" si="16"/>
        <v>0.64000000000000012</v>
      </c>
      <c r="Z26" s="16">
        <f t="shared" si="17"/>
        <v>1</v>
      </c>
      <c r="AA26" s="16">
        <f t="shared" si="18"/>
        <v>3.2768000000000035E-7</v>
      </c>
      <c r="AB26" s="16">
        <f t="shared" si="19"/>
        <v>55</v>
      </c>
      <c r="AC26" s="16">
        <f t="shared" si="20"/>
        <v>1.8022400000000019E-5</v>
      </c>
    </row>
    <row r="27" spans="2:35" x14ac:dyDescent="0.3">
      <c r="B27" s="15">
        <v>1</v>
      </c>
      <c r="C27" s="15">
        <v>0</v>
      </c>
      <c r="D27" s="15">
        <v>0</v>
      </c>
      <c r="E27" s="15">
        <v>1</v>
      </c>
      <c r="F27" s="15">
        <v>0</v>
      </c>
      <c r="G27" s="16">
        <f t="shared" si="0"/>
        <v>1</v>
      </c>
      <c r="H27" s="16">
        <f t="shared" si="1"/>
        <v>0</v>
      </c>
      <c r="I27" s="16">
        <f t="shared" si="2"/>
        <v>0</v>
      </c>
      <c r="J27" s="16">
        <f t="shared" si="3"/>
        <v>1</v>
      </c>
      <c r="K27" s="16">
        <f t="shared" si="4"/>
        <v>0</v>
      </c>
      <c r="L27" s="16">
        <f t="shared" si="5"/>
        <v>1</v>
      </c>
      <c r="M27" s="16">
        <f t="shared" si="6"/>
        <v>0</v>
      </c>
      <c r="N27" s="16">
        <f t="shared" si="7"/>
        <v>0</v>
      </c>
      <c r="O27" s="16">
        <f t="shared" si="8"/>
        <v>0</v>
      </c>
      <c r="P27" s="16">
        <f t="shared" si="9"/>
        <v>1</v>
      </c>
      <c r="Q27" s="16">
        <f t="shared" si="10"/>
        <v>0</v>
      </c>
      <c r="R27" s="17">
        <f t="shared" si="11"/>
        <v>4</v>
      </c>
      <c r="T27" s="16">
        <f t="shared" si="21"/>
        <v>10</v>
      </c>
      <c r="U27" s="21">
        <f>COUNTIF(R$9:R$40,"=10")</f>
        <v>0</v>
      </c>
      <c r="W27" s="16">
        <f t="shared" si="14"/>
        <v>10</v>
      </c>
      <c r="X27" s="16">
        <f t="shared" si="15"/>
        <v>1.0240000000000011E-7</v>
      </c>
      <c r="Y27" s="16">
        <f t="shared" si="16"/>
        <v>0.8</v>
      </c>
      <c r="Z27" s="16">
        <f t="shared" si="17"/>
        <v>0</v>
      </c>
      <c r="AA27" s="16">
        <f t="shared" si="18"/>
        <v>0</v>
      </c>
      <c r="AB27" s="16">
        <f t="shared" si="19"/>
        <v>11</v>
      </c>
      <c r="AC27" s="16">
        <f t="shared" si="20"/>
        <v>9.0112000000000102E-7</v>
      </c>
    </row>
    <row r="28" spans="2:35" x14ac:dyDescent="0.3">
      <c r="B28" s="15">
        <v>1</v>
      </c>
      <c r="C28" s="15">
        <v>0</v>
      </c>
      <c r="D28" s="15">
        <v>0</v>
      </c>
      <c r="E28" s="15">
        <v>1</v>
      </c>
      <c r="F28" s="15">
        <v>1</v>
      </c>
      <c r="G28" s="16">
        <f t="shared" si="0"/>
        <v>1</v>
      </c>
      <c r="H28" s="16">
        <f t="shared" si="1"/>
        <v>0</v>
      </c>
      <c r="I28" s="16">
        <f t="shared" si="2"/>
        <v>0</v>
      </c>
      <c r="J28" s="16">
        <f t="shared" si="3"/>
        <v>1</v>
      </c>
      <c r="K28" s="16">
        <f t="shared" si="4"/>
        <v>1</v>
      </c>
      <c r="L28" s="16">
        <f t="shared" si="5"/>
        <v>1</v>
      </c>
      <c r="M28" s="16">
        <f t="shared" si="6"/>
        <v>0</v>
      </c>
      <c r="N28" s="16">
        <f t="shared" si="7"/>
        <v>1</v>
      </c>
      <c r="O28" s="16">
        <f t="shared" si="8"/>
        <v>1</v>
      </c>
      <c r="P28" s="16">
        <f t="shared" si="9"/>
        <v>0</v>
      </c>
      <c r="Q28" s="16">
        <f t="shared" si="10"/>
        <v>1</v>
      </c>
      <c r="R28" s="17">
        <f t="shared" si="11"/>
        <v>7</v>
      </c>
      <c r="T28" s="16">
        <f t="shared" si="21"/>
        <v>11</v>
      </c>
      <c r="U28" s="21">
        <f>COUNTIF(R$9:R$40,"=11")</f>
        <v>0</v>
      </c>
      <c r="W28" s="16">
        <f t="shared" si="14"/>
        <v>11</v>
      </c>
      <c r="X28" s="16">
        <f t="shared" si="15"/>
        <v>2.0480000000000022E-8</v>
      </c>
      <c r="Y28" s="16">
        <f t="shared" si="16"/>
        <v>1</v>
      </c>
      <c r="Z28" s="16">
        <f t="shared" si="17"/>
        <v>0</v>
      </c>
      <c r="AA28" s="16">
        <f t="shared" si="18"/>
        <v>0</v>
      </c>
      <c r="AB28" s="16">
        <f t="shared" si="19"/>
        <v>1</v>
      </c>
      <c r="AC28" s="16">
        <f t="shared" si="20"/>
        <v>2.0480000000000022E-8</v>
      </c>
    </row>
    <row r="29" spans="2:35" x14ac:dyDescent="0.3">
      <c r="B29" s="15">
        <v>1</v>
      </c>
      <c r="C29" s="15">
        <v>0</v>
      </c>
      <c r="D29" s="15">
        <v>1</v>
      </c>
      <c r="E29" s="15">
        <v>0</v>
      </c>
      <c r="F29" s="15">
        <v>0</v>
      </c>
      <c r="G29" s="16">
        <f t="shared" si="0"/>
        <v>1</v>
      </c>
      <c r="H29" s="16">
        <f t="shared" si="1"/>
        <v>0</v>
      </c>
      <c r="I29" s="16">
        <f t="shared" si="2"/>
        <v>1</v>
      </c>
      <c r="J29" s="16">
        <f t="shared" si="3"/>
        <v>0</v>
      </c>
      <c r="K29" s="16">
        <f t="shared" si="4"/>
        <v>0</v>
      </c>
      <c r="L29" s="16">
        <f t="shared" si="5"/>
        <v>1</v>
      </c>
      <c r="M29" s="16">
        <f t="shared" si="6"/>
        <v>0</v>
      </c>
      <c r="N29" s="16">
        <f t="shared" si="7"/>
        <v>0</v>
      </c>
      <c r="O29" s="16">
        <f t="shared" si="8"/>
        <v>0</v>
      </c>
      <c r="P29" s="16">
        <f t="shared" si="9"/>
        <v>1</v>
      </c>
      <c r="Q29" s="16">
        <f t="shared" si="10"/>
        <v>1</v>
      </c>
      <c r="R29" s="17">
        <f t="shared" si="11"/>
        <v>5</v>
      </c>
      <c r="T29" s="24" t="s">
        <v>24</v>
      </c>
      <c r="U29" s="24">
        <f>SUM(U17:U28)</f>
        <v>32</v>
      </c>
    </row>
    <row r="30" spans="2:35" x14ac:dyDescent="0.3">
      <c r="B30" s="15">
        <v>1</v>
      </c>
      <c r="C30" s="15">
        <v>0</v>
      </c>
      <c r="D30" s="15">
        <v>1</v>
      </c>
      <c r="E30" s="15">
        <v>0</v>
      </c>
      <c r="F30" s="15">
        <v>1</v>
      </c>
      <c r="G30" s="16">
        <f t="shared" si="0"/>
        <v>1</v>
      </c>
      <c r="H30" s="16">
        <f t="shared" si="1"/>
        <v>0</v>
      </c>
      <c r="I30" s="16">
        <f t="shared" si="2"/>
        <v>1</v>
      </c>
      <c r="J30" s="16">
        <f t="shared" si="3"/>
        <v>0</v>
      </c>
      <c r="K30" s="16">
        <f t="shared" si="4"/>
        <v>1</v>
      </c>
      <c r="L30" s="16">
        <f t="shared" si="5"/>
        <v>1</v>
      </c>
      <c r="M30" s="16">
        <f t="shared" si="6"/>
        <v>0</v>
      </c>
      <c r="N30" s="16">
        <f t="shared" si="7"/>
        <v>1</v>
      </c>
      <c r="O30" s="16">
        <f t="shared" si="8"/>
        <v>1</v>
      </c>
      <c r="P30" s="16">
        <f t="shared" si="9"/>
        <v>0</v>
      </c>
      <c r="Q30" s="16">
        <f t="shared" si="10"/>
        <v>0</v>
      </c>
      <c r="R30" s="17">
        <f t="shared" si="11"/>
        <v>6</v>
      </c>
    </row>
    <row r="31" spans="2:35" x14ac:dyDescent="0.3">
      <c r="B31" s="15">
        <v>1</v>
      </c>
      <c r="C31" s="15">
        <v>0</v>
      </c>
      <c r="D31" s="15">
        <v>1</v>
      </c>
      <c r="E31" s="15">
        <v>1</v>
      </c>
      <c r="F31" s="15">
        <v>0</v>
      </c>
      <c r="G31" s="16">
        <f t="shared" si="0"/>
        <v>1</v>
      </c>
      <c r="H31" s="16">
        <f t="shared" si="1"/>
        <v>0</v>
      </c>
      <c r="I31" s="16">
        <f t="shared" si="2"/>
        <v>1</v>
      </c>
      <c r="J31" s="16">
        <f t="shared" si="3"/>
        <v>1</v>
      </c>
      <c r="K31" s="16">
        <f t="shared" si="4"/>
        <v>0</v>
      </c>
      <c r="L31" s="16">
        <f t="shared" si="5"/>
        <v>0</v>
      </c>
      <c r="M31" s="16">
        <f t="shared" si="6"/>
        <v>1</v>
      </c>
      <c r="N31" s="16">
        <f t="shared" si="7"/>
        <v>1</v>
      </c>
      <c r="O31" s="16">
        <f t="shared" si="8"/>
        <v>1</v>
      </c>
      <c r="P31" s="16">
        <f t="shared" si="9"/>
        <v>0</v>
      </c>
      <c r="Q31" s="16">
        <f t="shared" si="10"/>
        <v>0</v>
      </c>
      <c r="R31" s="17">
        <f t="shared" si="11"/>
        <v>6</v>
      </c>
    </row>
    <row r="32" spans="2:35" x14ac:dyDescent="0.3">
      <c r="B32" s="15">
        <v>1</v>
      </c>
      <c r="C32" s="15">
        <v>0</v>
      </c>
      <c r="D32" s="15">
        <v>1</v>
      </c>
      <c r="E32" s="15">
        <v>1</v>
      </c>
      <c r="F32" s="15">
        <v>1</v>
      </c>
      <c r="G32" s="16">
        <f t="shared" si="0"/>
        <v>1</v>
      </c>
      <c r="H32" s="16">
        <f t="shared" si="1"/>
        <v>0</v>
      </c>
      <c r="I32" s="16">
        <f t="shared" si="2"/>
        <v>1</v>
      </c>
      <c r="J32" s="16">
        <f t="shared" si="3"/>
        <v>1</v>
      </c>
      <c r="K32" s="16">
        <f t="shared" si="4"/>
        <v>1</v>
      </c>
      <c r="L32" s="16">
        <f t="shared" si="5"/>
        <v>0</v>
      </c>
      <c r="M32" s="16">
        <f t="shared" si="6"/>
        <v>1</v>
      </c>
      <c r="N32" s="16">
        <f t="shared" si="7"/>
        <v>0</v>
      </c>
      <c r="O32" s="16">
        <f t="shared" si="8"/>
        <v>0</v>
      </c>
      <c r="P32" s="16">
        <f t="shared" si="9"/>
        <v>1</v>
      </c>
      <c r="Q32" s="16">
        <f t="shared" si="10"/>
        <v>1</v>
      </c>
      <c r="R32" s="17">
        <f t="shared" si="11"/>
        <v>7</v>
      </c>
    </row>
    <row r="33" spans="2:18" x14ac:dyDescent="0.3">
      <c r="B33" s="15">
        <v>1</v>
      </c>
      <c r="C33" s="15">
        <v>1</v>
      </c>
      <c r="D33" s="15">
        <v>0</v>
      </c>
      <c r="E33" s="15">
        <v>0</v>
      </c>
      <c r="F33" s="15">
        <v>0</v>
      </c>
      <c r="G33" s="16">
        <f t="shared" si="0"/>
        <v>1</v>
      </c>
      <c r="H33" s="16">
        <f t="shared" si="1"/>
        <v>1</v>
      </c>
      <c r="I33" s="16">
        <f t="shared" si="2"/>
        <v>0</v>
      </c>
      <c r="J33" s="16">
        <f t="shared" si="3"/>
        <v>0</v>
      </c>
      <c r="K33" s="16">
        <f t="shared" si="4"/>
        <v>0</v>
      </c>
      <c r="L33" s="16">
        <f t="shared" si="5"/>
        <v>0</v>
      </c>
      <c r="M33" s="16">
        <f t="shared" si="6"/>
        <v>0</v>
      </c>
      <c r="N33" s="16">
        <f t="shared" si="7"/>
        <v>1</v>
      </c>
      <c r="O33" s="16">
        <f t="shared" si="8"/>
        <v>0</v>
      </c>
      <c r="P33" s="16">
        <f t="shared" si="9"/>
        <v>1</v>
      </c>
      <c r="Q33" s="16">
        <f t="shared" si="10"/>
        <v>0</v>
      </c>
      <c r="R33" s="17">
        <f t="shared" si="11"/>
        <v>4</v>
      </c>
    </row>
    <row r="34" spans="2:18" x14ac:dyDescent="0.3">
      <c r="B34" s="15">
        <v>1</v>
      </c>
      <c r="C34" s="15">
        <v>1</v>
      </c>
      <c r="D34" s="15">
        <v>0</v>
      </c>
      <c r="E34" s="15">
        <v>0</v>
      </c>
      <c r="F34" s="15">
        <v>1</v>
      </c>
      <c r="G34" s="16">
        <f t="shared" si="0"/>
        <v>1</v>
      </c>
      <c r="H34" s="16">
        <f t="shared" si="1"/>
        <v>1</v>
      </c>
      <c r="I34" s="16">
        <f t="shared" si="2"/>
        <v>0</v>
      </c>
      <c r="J34" s="16">
        <f t="shared" si="3"/>
        <v>0</v>
      </c>
      <c r="K34" s="16">
        <f t="shared" si="4"/>
        <v>1</v>
      </c>
      <c r="L34" s="16">
        <f t="shared" si="5"/>
        <v>0</v>
      </c>
      <c r="M34" s="16">
        <f t="shared" si="6"/>
        <v>0</v>
      </c>
      <c r="N34" s="16">
        <f t="shared" si="7"/>
        <v>0</v>
      </c>
      <c r="O34" s="16">
        <f t="shared" si="8"/>
        <v>1</v>
      </c>
      <c r="P34" s="16">
        <f t="shared" si="9"/>
        <v>0</v>
      </c>
      <c r="Q34" s="16">
        <f t="shared" si="10"/>
        <v>1</v>
      </c>
      <c r="R34" s="17">
        <f t="shared" si="11"/>
        <v>5</v>
      </c>
    </row>
    <row r="35" spans="2:18" x14ac:dyDescent="0.3">
      <c r="B35" s="15">
        <v>1</v>
      </c>
      <c r="C35" s="15">
        <v>1</v>
      </c>
      <c r="D35" s="15">
        <v>0</v>
      </c>
      <c r="E35" s="15">
        <v>1</v>
      </c>
      <c r="F35" s="15">
        <v>0</v>
      </c>
      <c r="G35" s="16">
        <f t="shared" si="0"/>
        <v>1</v>
      </c>
      <c r="H35" s="16">
        <f t="shared" si="1"/>
        <v>1</v>
      </c>
      <c r="I35" s="16">
        <f t="shared" si="2"/>
        <v>0</v>
      </c>
      <c r="J35" s="16">
        <f t="shared" si="3"/>
        <v>1</v>
      </c>
      <c r="K35" s="16">
        <f t="shared" si="4"/>
        <v>0</v>
      </c>
      <c r="L35" s="16">
        <f t="shared" si="5"/>
        <v>1</v>
      </c>
      <c r="M35" s="16">
        <f t="shared" si="6"/>
        <v>1</v>
      </c>
      <c r="N35" s="16">
        <f t="shared" si="7"/>
        <v>0</v>
      </c>
      <c r="O35" s="16">
        <f t="shared" si="8"/>
        <v>1</v>
      </c>
      <c r="P35" s="16">
        <f t="shared" si="9"/>
        <v>0</v>
      </c>
      <c r="Q35" s="16">
        <f t="shared" si="10"/>
        <v>1</v>
      </c>
      <c r="R35" s="17">
        <f t="shared" si="11"/>
        <v>7</v>
      </c>
    </row>
    <row r="36" spans="2:18" x14ac:dyDescent="0.3">
      <c r="B36" s="15">
        <v>1</v>
      </c>
      <c r="C36" s="15">
        <v>1</v>
      </c>
      <c r="D36" s="15">
        <v>0</v>
      </c>
      <c r="E36" s="15">
        <v>1</v>
      </c>
      <c r="F36" s="15">
        <v>1</v>
      </c>
      <c r="G36" s="16">
        <f t="shared" si="0"/>
        <v>1</v>
      </c>
      <c r="H36" s="16">
        <f t="shared" si="1"/>
        <v>1</v>
      </c>
      <c r="I36" s="16">
        <f t="shared" si="2"/>
        <v>0</v>
      </c>
      <c r="J36" s="16">
        <f t="shared" si="3"/>
        <v>1</v>
      </c>
      <c r="K36" s="16">
        <f t="shared" si="4"/>
        <v>1</v>
      </c>
      <c r="L36" s="16">
        <f t="shared" si="5"/>
        <v>1</v>
      </c>
      <c r="M36" s="16">
        <f t="shared" si="6"/>
        <v>1</v>
      </c>
      <c r="N36" s="16">
        <f t="shared" si="7"/>
        <v>1</v>
      </c>
      <c r="O36" s="16">
        <f t="shared" si="8"/>
        <v>0</v>
      </c>
      <c r="P36" s="16">
        <f t="shared" si="9"/>
        <v>1</v>
      </c>
      <c r="Q36" s="16">
        <f t="shared" si="10"/>
        <v>0</v>
      </c>
      <c r="R36" s="17">
        <f t="shared" si="11"/>
        <v>8</v>
      </c>
    </row>
    <row r="37" spans="2:18" x14ac:dyDescent="0.3">
      <c r="B37" s="15">
        <v>1</v>
      </c>
      <c r="C37" s="15">
        <v>1</v>
      </c>
      <c r="D37" s="15">
        <v>1</v>
      </c>
      <c r="E37" s="15">
        <v>0</v>
      </c>
      <c r="F37" s="15">
        <v>0</v>
      </c>
      <c r="G37" s="16">
        <f t="shared" si="0"/>
        <v>1</v>
      </c>
      <c r="H37" s="16">
        <f t="shared" si="1"/>
        <v>1</v>
      </c>
      <c r="I37" s="16">
        <f t="shared" si="2"/>
        <v>1</v>
      </c>
      <c r="J37" s="16">
        <f t="shared" si="3"/>
        <v>0</v>
      </c>
      <c r="K37" s="16">
        <f t="shared" si="4"/>
        <v>0</v>
      </c>
      <c r="L37" s="16">
        <f t="shared" si="5"/>
        <v>1</v>
      </c>
      <c r="M37" s="16">
        <f t="shared" si="6"/>
        <v>1</v>
      </c>
      <c r="N37" s="16">
        <f t="shared" si="7"/>
        <v>0</v>
      </c>
      <c r="O37" s="16">
        <f t="shared" si="8"/>
        <v>1</v>
      </c>
      <c r="P37" s="16">
        <f t="shared" si="9"/>
        <v>0</v>
      </c>
      <c r="Q37" s="16">
        <f t="shared" si="10"/>
        <v>0</v>
      </c>
      <c r="R37" s="17">
        <f t="shared" si="11"/>
        <v>6</v>
      </c>
    </row>
    <row r="38" spans="2:18" x14ac:dyDescent="0.3">
      <c r="B38" s="15">
        <v>1</v>
      </c>
      <c r="C38" s="15">
        <v>1</v>
      </c>
      <c r="D38" s="15">
        <v>1</v>
      </c>
      <c r="E38" s="15">
        <v>0</v>
      </c>
      <c r="F38" s="15">
        <v>1</v>
      </c>
      <c r="G38" s="16">
        <f t="shared" si="0"/>
        <v>1</v>
      </c>
      <c r="H38" s="16">
        <f t="shared" si="1"/>
        <v>1</v>
      </c>
      <c r="I38" s="16">
        <f t="shared" si="2"/>
        <v>1</v>
      </c>
      <c r="J38" s="16">
        <f t="shared" si="3"/>
        <v>0</v>
      </c>
      <c r="K38" s="16">
        <f t="shared" si="4"/>
        <v>1</v>
      </c>
      <c r="L38" s="16">
        <f t="shared" si="5"/>
        <v>1</v>
      </c>
      <c r="M38" s="16">
        <f t="shared" si="6"/>
        <v>1</v>
      </c>
      <c r="N38" s="16">
        <f t="shared" si="7"/>
        <v>1</v>
      </c>
      <c r="O38" s="16">
        <f t="shared" si="8"/>
        <v>0</v>
      </c>
      <c r="P38" s="16">
        <f t="shared" si="9"/>
        <v>1</v>
      </c>
      <c r="Q38" s="16">
        <f t="shared" si="10"/>
        <v>1</v>
      </c>
      <c r="R38" s="17">
        <f t="shared" si="11"/>
        <v>9</v>
      </c>
    </row>
    <row r="39" spans="2:18" x14ac:dyDescent="0.3">
      <c r="B39" s="15">
        <v>1</v>
      </c>
      <c r="C39" s="15">
        <v>1</v>
      </c>
      <c r="D39" s="15">
        <v>1</v>
      </c>
      <c r="E39" s="15">
        <v>1</v>
      </c>
      <c r="F39" s="15">
        <v>0</v>
      </c>
      <c r="G39" s="16">
        <f t="shared" si="0"/>
        <v>1</v>
      </c>
      <c r="H39" s="16">
        <f t="shared" si="1"/>
        <v>1</v>
      </c>
      <c r="I39" s="16">
        <f t="shared" si="2"/>
        <v>1</v>
      </c>
      <c r="J39" s="16">
        <f t="shared" si="3"/>
        <v>1</v>
      </c>
      <c r="K39" s="16">
        <f t="shared" si="4"/>
        <v>0</v>
      </c>
      <c r="L39" s="16">
        <f t="shared" si="5"/>
        <v>0</v>
      </c>
      <c r="M39" s="16">
        <f t="shared" si="6"/>
        <v>0</v>
      </c>
      <c r="N39" s="16">
        <f t="shared" si="7"/>
        <v>1</v>
      </c>
      <c r="O39" s="16">
        <f t="shared" si="8"/>
        <v>0</v>
      </c>
      <c r="P39" s="16">
        <f t="shared" si="9"/>
        <v>1</v>
      </c>
      <c r="Q39" s="16">
        <f t="shared" si="10"/>
        <v>1</v>
      </c>
      <c r="R39" s="17">
        <f t="shared" si="11"/>
        <v>7</v>
      </c>
    </row>
    <row r="40" spans="2:18" x14ac:dyDescent="0.3">
      <c r="B40" s="15">
        <v>1</v>
      </c>
      <c r="C40" s="15">
        <v>1</v>
      </c>
      <c r="D40" s="15">
        <v>1</v>
      </c>
      <c r="E40" s="15">
        <v>1</v>
      </c>
      <c r="F40" s="15">
        <v>1</v>
      </c>
      <c r="G40" s="16">
        <f t="shared" si="0"/>
        <v>1</v>
      </c>
      <c r="H40" s="16">
        <f t="shared" si="1"/>
        <v>1</v>
      </c>
      <c r="I40" s="16">
        <f t="shared" si="2"/>
        <v>1</v>
      </c>
      <c r="J40" s="16">
        <f t="shared" si="3"/>
        <v>1</v>
      </c>
      <c r="K40" s="16">
        <f t="shared" si="4"/>
        <v>1</v>
      </c>
      <c r="L40" s="16">
        <f t="shared" si="5"/>
        <v>0</v>
      </c>
      <c r="M40" s="16">
        <f t="shared" si="6"/>
        <v>0</v>
      </c>
      <c r="N40" s="16">
        <f t="shared" si="7"/>
        <v>0</v>
      </c>
      <c r="O40" s="16">
        <f t="shared" si="8"/>
        <v>1</v>
      </c>
      <c r="P40" s="16">
        <f t="shared" si="9"/>
        <v>0</v>
      </c>
      <c r="Q40" s="16">
        <f t="shared" si="10"/>
        <v>0</v>
      </c>
      <c r="R40" s="17">
        <f t="shared" si="11"/>
        <v>6</v>
      </c>
    </row>
  </sheetData>
  <mergeCells count="2">
    <mergeCell ref="B8:F8"/>
    <mergeCell ref="G8:Q8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Задача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Даниил Враженко</dc:creator>
  <dc:description/>
  <cp:lastModifiedBy>Даниил Враженко</cp:lastModifiedBy>
  <cp:revision>2</cp:revision>
  <dcterms:created xsi:type="dcterms:W3CDTF">2026-09-29T08:32:34Z</dcterms:created>
  <dcterms:modified xsi:type="dcterms:W3CDTF">2026-10-02T11:25:03Z</dcterms:modified>
  <dc:language>ru-RU</dc:language>
</cp:coreProperties>
</file>